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G:\Others\Career - Data Analysis\Portfolios\Supply Chain Logistics Alanysis\main\"/>
    </mc:Choice>
  </mc:AlternateContent>
  <xr:revisionPtr revIDLastSave="0" documentId="13_ncr:1_{57D9AE87-67DA-40D8-9F72-0BB3312D5534}" xr6:coauthVersionLast="47" xr6:coauthVersionMax="47" xr10:uidLastSave="{00000000-0000-0000-0000-000000000000}"/>
  <bookViews>
    <workbookView xWindow="-120" yWindow="-120" windowWidth="29040" windowHeight="16440" activeTab="1" xr2:uid="{ACBC30A5-6D29-4A7E-A34D-7E44AD48839E}"/>
  </bookViews>
  <sheets>
    <sheet name="Calculations" sheetId="1" r:id="rId1"/>
    <sheet name="Dashboard" sheetId="2" r:id="rId2"/>
  </sheets>
  <definedNames>
    <definedName name="Slicer_Carrier">#N/A</definedName>
    <definedName name="Timeline_Date">#N/A</definedName>
  </definedNames>
  <calcPr calcId="191029"/>
  <pivotCaches>
    <pivotCache cacheId="0" r:id="rId3"/>
    <pivotCache cacheId="1" r:id="rId4"/>
    <pivotCache cacheId="2" r:id="rId5"/>
    <pivotCache cacheId="3" r:id="rId6"/>
    <pivotCache cacheId="4" r:id="rId7"/>
    <pivotCache cacheId="5" r:id="rId8"/>
    <pivotCache cacheId="6"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2"/>
      </x15:timelineCachePivotCaches>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gistics_dataset_cfdd951e-83cb-406d-be27-1aae8b11c1db" name="logistics_dataset" connection="Query - logistics_dataset"/>
          <x15:modelTable id="KPI Measures_0e35509c-d359-407b-ae20-f5ca20fc621e" name="KPI Measures" connection="Query - KPI Measures"/>
          <x15:modelTable id="Calendar" name="Calendar" connection="Connection"/>
        </x15:modelTables>
        <x15:modelRelationships>
          <x15:modelRelationship fromTable="logistics_dataset" fromColumn="Shipment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8" i="1" l="1"/>
  <c r="K7" i="1"/>
  <c r="E4" i="1"/>
  <c r="F4" i="1"/>
  <c r="D4" i="1"/>
  <c r="C4" i="1"/>
  <c r="B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214C8A-F53B-4C78-A526-0327EDAE18A4}" name="Connection" type="104" refreshedVersion="0" background="1">
    <extLst>
      <ext xmlns:x15="http://schemas.microsoft.com/office/spreadsheetml/2010/11/main" uri="{DE250136-89BD-433C-8126-D09CA5730AF9}">
        <x15:connection id="Calendar"/>
      </ext>
    </extLst>
  </connection>
  <connection id="2" xr16:uid="{87EF7241-1997-4053-85F7-482E2DC3FA73}" name="Query - KPI Measures" description="Connection to the 'KPI Measures' query in the workbook." type="100" refreshedVersion="7" minRefreshableVersion="5">
    <extLst>
      <ext xmlns:x15="http://schemas.microsoft.com/office/spreadsheetml/2010/11/main" uri="{DE250136-89BD-433C-8126-D09CA5730AF9}">
        <x15:connection id="41bcc9e0-78d4-4859-8afc-c3b74b8db9b5"/>
      </ext>
    </extLst>
  </connection>
  <connection id="3" xr16:uid="{AB7BC6C6-3559-4A66-95DD-8F5F7B08B215}" name="Query - logistics_dataset" description="Connection to the 'logistics_dataset' query in the workbook." type="100" refreshedVersion="7" minRefreshableVersion="5">
    <extLst>
      <ext xmlns:x15="http://schemas.microsoft.com/office/spreadsheetml/2010/11/main" uri="{DE250136-89BD-433C-8126-D09CA5730AF9}">
        <x15:connection id="d9a2e6e7-1cb5-4138-84e8-aa7633b3fff2"/>
      </ext>
    </extLst>
  </connection>
  <connection id="4" xr16:uid="{1EECAA6A-7A2A-4B84-BD34-C6B0D0A16BC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<sst xmlns="http://schemas.openxmlformats.org/spreadsheetml/2006/main" count="64" uniqueCount="39">
  <si>
    <t>Total Shipment</t>
  </si>
  <si>
    <t>Delivery Count</t>
  </si>
  <si>
    <t>Delivery Rate</t>
  </si>
  <si>
    <t>Avg Cost</t>
  </si>
  <si>
    <t>Avg Transit Day(s)</t>
  </si>
  <si>
    <t>Avg Miles Traveled</t>
  </si>
  <si>
    <t>Avg Weight(kg)</t>
  </si>
  <si>
    <t>Main KPIs</t>
  </si>
  <si>
    <t>Shipment and Delivery Count by Month</t>
  </si>
  <si>
    <t>Row Labels</t>
  </si>
  <si>
    <t>Jan</t>
  </si>
  <si>
    <t>Feb</t>
  </si>
  <si>
    <t>Mar</t>
  </si>
  <si>
    <t>Apr</t>
  </si>
  <si>
    <t>May</t>
  </si>
  <si>
    <t>Jun</t>
  </si>
  <si>
    <t>Jul</t>
  </si>
  <si>
    <t>Aug</t>
  </si>
  <si>
    <t>Sep</t>
  </si>
  <si>
    <t>Oct</t>
  </si>
  <si>
    <t>Nov</t>
  </si>
  <si>
    <t>Dec</t>
  </si>
  <si>
    <t>Amazon</t>
  </si>
  <si>
    <t>DHL</t>
  </si>
  <si>
    <t>LaserShip</t>
  </si>
  <si>
    <t>UPS</t>
  </si>
  <si>
    <t>USPS</t>
  </si>
  <si>
    <t>Avg Carrier Cost</t>
  </si>
  <si>
    <t>Carrier Delivery Rate</t>
  </si>
  <si>
    <t>Carrier Avg Weight (kg)</t>
  </si>
  <si>
    <t>Carrier Avg Delivery Day(s)</t>
  </si>
  <si>
    <t>Top 7  Destination by Delivery Rate</t>
  </si>
  <si>
    <t>Atlanta</t>
  </si>
  <si>
    <t>Chicago</t>
  </si>
  <si>
    <t>Denver</t>
  </si>
  <si>
    <t>Houston</t>
  </si>
  <si>
    <t>Miami</t>
  </si>
  <si>
    <t>Minneapolis</t>
  </si>
  <si>
    <t>Portland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</si>
</sst>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
    <numFmt numFmtId="166" formatCode="&quot;$&quot;#,##0.00"/>
  </numFmts>
  <fonts count="2" x14ac:knownFonts="1">
    <font>
      <sz val="11"/>
      <color theme="1"/>
      <name val="Calibri"/>
      <family val="2"/>
      <scheme val="minor"/>
    </font>
    <font>
      <b/>
      <sz val="10"/>
      <color theme="0"/>
      <name val="Calibri"/>
      <family val="2"/>
      <scheme val="minor"/>
    </font>
  </fonts>
  <fills count="5">
    <fill>
      <patternFill patternType="none"/>
    </fill>
    <fill>
      <patternFill patternType="gray125"/>
    </fill>
    <fill>
      <patternFill patternType="solid">
        <fgColor theme="8" tint="-0.249977111117893"/>
        <bgColor indexed="64"/>
      </patternFill>
    </fill>
    <fill>
      <patternFill patternType="solid">
        <fgColor rgb="FFEBE6FA"/>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4">
    <xf numFmtId="0" fontId="0" fillId="0" borderId="0" xfId="0"/>
    <xf numFmtId="3" fontId="0" fillId="0" borderId="0" xfId="0" applyNumberFormat="1"/>
    <xf numFmtId="1"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165" fontId="0" fillId="0" borderId="0" xfId="0" applyNumberFormat="1"/>
    <xf numFmtId="9" fontId="0" fillId="0" borderId="0" xfId="0" applyNumberFormat="1"/>
    <xf numFmtId="166" fontId="0" fillId="0" borderId="0" xfId="0" applyNumberFormat="1"/>
    <xf numFmtId="0" fontId="0" fillId="3" borderId="0" xfId="0" applyFill="1"/>
    <xf numFmtId="0" fontId="1" fillId="2" borderId="0" xfId="0" applyFont="1" applyFill="1" applyAlignment="1">
      <alignment horizontal="center" vertical="center"/>
    </xf>
    <xf numFmtId="0" fontId="0" fillId="4" borderId="0" xfId="0" applyFill="1"/>
  </cellXfs>
  <cellStyles count="1">
    <cellStyle name="Normal" xfId="0" builtinId="0"/>
  </cellStyles>
  <dxfs count="5">
    <dxf>
      <numFmt numFmtId="165" formatCode="0.0"/>
    </dxf>
    <dxf>
      <numFmt numFmtId="13" formatCode="0%"/>
    </dxf>
    <dxf>
      <fill>
        <patternFill>
          <bgColor theme="0"/>
        </patternFill>
      </fill>
    </dxf>
    <dxf>
      <font>
        <sz val="11"/>
        <color theme="0"/>
        <name val="Segoe UI Semibold"/>
        <family val="2"/>
        <scheme val="none"/>
      </font>
      <fill>
        <patternFill patternType="none">
          <fgColor indexed="64"/>
          <bgColor auto="1"/>
        </patternFill>
      </fill>
      <border diagonalUp="0" diagonalDown="0">
        <left/>
        <right/>
        <top/>
        <bottom/>
        <vertical/>
        <horizontal/>
      </border>
    </dxf>
    <dxf>
      <font>
        <sz val="12"/>
        <color theme="0"/>
        <name val="Segoe UI Semibold"/>
        <family val="2"/>
        <scheme val="none"/>
      </font>
      <fill>
        <patternFill>
          <bgColor rgb="FF181A2F"/>
        </patternFill>
      </fill>
      <border diagonalUp="0" diagonalDown="0">
        <left/>
        <right/>
        <top/>
        <bottom/>
        <vertical/>
        <horizontal/>
      </border>
    </dxf>
  </dxfs>
  <tableStyles count="2" defaultTableStyle="TableStyleMedium2" defaultPivotStyle="PivotStyleLight16">
    <tableStyle name="Slicer Style 1" pivot="0" table="0" count="4" xr9:uid="{0473F84F-75D8-4CED-9AF9-5569511235D4}">
      <tableStyleElement type="wholeTable" dxfId="4"/>
    </tableStyle>
    <tableStyle name="Timeline Style 1" pivot="0" table="0" count="8" xr9:uid="{3FA02D51-CA05-4516-914E-210E38C551BE}">
      <tableStyleElement type="wholeTable" dxfId="3"/>
      <tableStyleElement type="headerRow" dxfId="2"/>
    </tableStyle>
  </tableStyles>
  <colors>
    <mruColors>
      <color rgb="FFEBE6FA"/>
      <color rgb="FFF7F5FD"/>
      <color rgb="FFE4DCF8"/>
      <color rgb="FFCAEEF6"/>
      <color rgb="FF93FBF9"/>
      <color rgb="FF07C9C4"/>
      <color rgb="FF03CFA8"/>
      <color rgb="FF13CFCB"/>
      <color rgb="FF045560"/>
      <color rgb="FF023837"/>
    </mruColors>
  </colors>
  <extLst>
    <ext xmlns:x14="http://schemas.microsoft.com/office/spreadsheetml/2009/9/main" uri="{46F421CA-312F-682f-3DD2-61675219B42D}">
      <x14:dxfs count="3">
        <dxf>
          <fill>
            <patternFill>
              <fgColor rgb="FFACAAF5"/>
            </patternFill>
          </fill>
        </dxf>
        <dxf>
          <font>
            <sz val="11"/>
            <color theme="1" tint="4.9989318521683403E-2"/>
            <name val="Segoe UI Semibold"/>
            <family val="2"/>
            <scheme val="none"/>
          </font>
          <fill>
            <patternFill patternType="solid">
              <fgColor rgb="FF03CFA8"/>
              <bgColor rgb="FF07C9C4"/>
            </patternFill>
          </fill>
          <border diagonalUp="0" diagonalDown="0">
            <left style="thin">
              <color auto="1"/>
            </left>
            <right style="thin">
              <color auto="1"/>
            </right>
            <top style="thin">
              <color auto="1"/>
            </top>
            <bottom style="thin">
              <color auto="1"/>
            </bottom>
            <vertical/>
            <horizontal/>
          </border>
        </dxf>
        <dxf>
          <font>
            <sz val="11"/>
            <color theme="1"/>
            <name val="Segoe UI Semibold"/>
            <family val="2"/>
            <scheme val="none"/>
          </font>
          <fill>
            <patternFill>
              <bgColor theme="0" tint="-0.1499679555650502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07C9C4"/>
            </patternFill>
          </fill>
        </dxf>
        <dxf>
          <font>
            <sz val="9"/>
            <color theme="0"/>
            <name val="Calibri"/>
            <family val="2"/>
            <scheme val="minor"/>
          </font>
        </dxf>
        <dxf>
          <font>
            <sz val="9"/>
            <color rgb="FF191A2E"/>
            <name val="Calibri Light"/>
            <family val="2"/>
            <scheme val="maj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microsoft.com/office/2011/relationships/timelineCache" Target="timelineCaches/timelineCach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8.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[supply-chain-logistics-analysis-dashboard.xlsx]Calculations!PivotTable2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5400" cap="rnd">
            <a:solidFill>
              <a:srgbClr val="07C9C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84990253411304E-2"/>
          <c:y val="0.10328646134077213"/>
          <c:w val="0.91423001949317739"/>
          <c:h val="0.70984267483100438"/>
        </c:manualLayout>
      </c:layout>
      <c:lineChart>
        <c:grouping val="standard"/>
        <c:varyColors val="0"/>
        <c:ser>
          <c:idx val="0"/>
          <c:order val="0"/>
          <c:tx>
            <c:strRef>
              <c:f>Calculations!$C$7</c:f>
              <c:strCache>
                <c:ptCount val="1"/>
                <c:pt idx="0">
                  <c:v>Total Shipment</c:v>
                </c:pt>
              </c:strCache>
            </c:strRef>
          </c:tx>
          <c:spPr>
            <a:ln w="25400" cap="rnd">
              <a:solidFill>
                <a:schemeClr val="bg1"/>
              </a:solidFill>
              <a:round/>
            </a:ln>
            <a:effectLst/>
          </c:spPr>
          <c:marker>
            <c:symbol val="none"/>
          </c:marker>
          <c:cat>
            <c:strRef>
              <c:f>Calculations!$B$8:$B$19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Calculations!$C$8:$C$19</c:f>
              <c:numCache>
                <c:formatCode>#,##0</c:formatCode>
                <c:ptCount val="12"/>
                <c:pt idx="0">
                  <c:v>117</c:v>
                </c:pt>
                <c:pt idx="1">
                  <c:v>102</c:v>
                </c:pt>
                <c:pt idx="2">
                  <c:v>111</c:v>
                </c:pt>
                <c:pt idx="3">
                  <c:v>122</c:v>
                </c:pt>
                <c:pt idx="4">
                  <c:v>114</c:v>
                </c:pt>
                <c:pt idx="5">
                  <c:v>119</c:v>
                </c:pt>
                <c:pt idx="6">
                  <c:v>118</c:v>
                </c:pt>
                <c:pt idx="7">
                  <c:v>129</c:v>
                </c:pt>
                <c:pt idx="8">
                  <c:v>112</c:v>
                </c:pt>
                <c:pt idx="9">
                  <c:v>122</c:v>
                </c:pt>
                <c:pt idx="10">
                  <c:v>128</c:v>
                </c:pt>
                <c:pt idx="11">
                  <c:v>112</c:v>
                </c:pt>
              </c:numCache>
            </c:numRef>
          </c:val>
          <c:smooth val="1"/>
          <c:extLst>
            <c:ext xmlns:c16="http://schemas.microsoft.com/office/drawing/2014/chart" uri="{C3380CC4-5D6E-409C-BE32-E72D297353CC}">
              <c16:uniqueId val="{00000000-6AFD-48AC-BEEE-0E3F7702460B}"/>
            </c:ext>
          </c:extLst>
        </c:ser>
        <c:ser>
          <c:idx val="1"/>
          <c:order val="1"/>
          <c:tx>
            <c:strRef>
              <c:f>Calculations!$D$7</c:f>
              <c:strCache>
                <c:ptCount val="1"/>
                <c:pt idx="0">
                  <c:v>Delivery Count</c:v>
                </c:pt>
              </c:strCache>
            </c:strRef>
          </c:tx>
          <c:spPr>
            <a:ln w="25400" cap="rnd">
              <a:solidFill>
                <a:srgbClr val="07C9C4"/>
              </a:solidFill>
              <a:round/>
            </a:ln>
            <a:effectLst/>
          </c:spPr>
          <c:marker>
            <c:symbol val="none"/>
          </c:marker>
          <c:cat>
            <c:strRef>
              <c:f>Calculations!$B$8:$B$19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Calculations!$D$8:$D$19</c:f>
              <c:numCache>
                <c:formatCode>0</c:formatCode>
                <c:ptCount val="12"/>
                <c:pt idx="0">
                  <c:v>98</c:v>
                </c:pt>
                <c:pt idx="1">
                  <c:v>81</c:v>
                </c:pt>
                <c:pt idx="2">
                  <c:v>90</c:v>
                </c:pt>
                <c:pt idx="3">
                  <c:v>101</c:v>
                </c:pt>
                <c:pt idx="4">
                  <c:v>91</c:v>
                </c:pt>
                <c:pt idx="5">
                  <c:v>103</c:v>
                </c:pt>
                <c:pt idx="6">
                  <c:v>99</c:v>
                </c:pt>
                <c:pt idx="7">
                  <c:v>102</c:v>
                </c:pt>
                <c:pt idx="8">
                  <c:v>94</c:v>
                </c:pt>
                <c:pt idx="9">
                  <c:v>104</c:v>
                </c:pt>
                <c:pt idx="10">
                  <c:v>106</c:v>
                </c:pt>
                <c:pt idx="11">
                  <c:v>87</c:v>
                </c:pt>
              </c:numCache>
            </c:numRef>
          </c:val>
          <c:smooth val="1"/>
          <c:extLst>
            <c:ext xmlns:c16="http://schemas.microsoft.com/office/drawing/2014/chart" uri="{C3380CC4-5D6E-409C-BE32-E72D297353CC}">
              <c16:uniqueId val="{00000001-6AFD-48AC-BEEE-0E3F7702460B}"/>
            </c:ext>
          </c:extLst>
        </c:ser>
        <c:dLbls>
          <c:showLegendKey val="0"/>
          <c:showVal val="0"/>
          <c:showCatName val="0"/>
          <c:showSerName val="0"/>
          <c:showPercent val="0"/>
          <c:showBubbleSize val="0"/>
        </c:dLbls>
        <c:smooth val="0"/>
        <c:axId val="1374899743"/>
        <c:axId val="1374901407"/>
      </c:lineChart>
      <c:catAx>
        <c:axId val="13748997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374901407"/>
        <c:crosses val="autoZero"/>
        <c:auto val="1"/>
        <c:lblAlgn val="ctr"/>
        <c:lblOffset val="100"/>
        <c:noMultiLvlLbl val="0"/>
      </c:catAx>
      <c:valAx>
        <c:axId val="1374901407"/>
        <c:scaling>
          <c:orientation val="minMax"/>
        </c:scaling>
        <c:delete val="1"/>
        <c:axPos val="l"/>
        <c:numFmt formatCode="#,##0" sourceLinked="1"/>
        <c:majorTickMark val="none"/>
        <c:minorTickMark val="none"/>
        <c:tickLblPos val="nextTo"/>
        <c:crossAx val="137489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[supply-chain-logistics-analysis-dashboard.xlsx]Calculations!PivotTable3</c:name>
    <c:fmtId val="3"/>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7C9C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7C9C4"/>
          </a:solidFill>
          <a:ln>
            <a:noFill/>
          </a:ln>
          <a:effectLst/>
        </c:spPr>
      </c:pivotFmt>
    </c:pivotFmts>
    <c:plotArea>
      <c:layout>
        <c:manualLayout>
          <c:layoutTarget val="inner"/>
          <c:xMode val="edge"/>
          <c:yMode val="edge"/>
          <c:x val="0.19648152936106866"/>
          <c:y val="6.9510268562401265E-2"/>
          <c:w val="0.7358567790966426"/>
          <c:h val="0.86097946287519744"/>
        </c:manualLayout>
      </c:layout>
      <c:barChart>
        <c:barDir val="bar"/>
        <c:grouping val="clustered"/>
        <c:varyColors val="0"/>
        <c:ser>
          <c:idx val="0"/>
          <c:order val="0"/>
          <c:tx>
            <c:strRef>
              <c:f>Calculations!$G$7</c:f>
              <c:strCache>
                <c:ptCount val="1"/>
                <c:pt idx="0">
                  <c:v>Total</c:v>
                </c:pt>
              </c:strCache>
            </c:strRef>
          </c:tx>
          <c:spPr>
            <a:solidFill>
              <a:srgbClr val="07C9C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Calculations!$F$8:$F$12</c:f>
              <c:strCache>
                <c:ptCount val="5"/>
                <c:pt idx="0">
                  <c:v>Amazon</c:v>
                </c:pt>
                <c:pt idx="1">
                  <c:v>DHL</c:v>
                </c:pt>
                <c:pt idx="2">
                  <c:v>LaserShip</c:v>
                </c:pt>
                <c:pt idx="3">
                  <c:v>UPS</c:v>
                </c:pt>
                <c:pt idx="4">
                  <c:v>USPS</c:v>
                </c:pt>
              </c:strCache>
            </c:strRef>
          </c:cat>
          <c:val>
            <c:numRef>
              <c:f>Calculations!$G$8:$G$12</c:f>
              <c:numCache>
                <c:formatCode>"$"#,##0.00</c:formatCode>
                <c:ptCount val="5"/>
                <c:pt idx="0">
                  <c:v>193.97339416058395</c:v>
                </c:pt>
                <c:pt idx="1">
                  <c:v>221.58569395017796</c:v>
                </c:pt>
                <c:pt idx="2">
                  <c:v>207.59366336633661</c:v>
                </c:pt>
                <c:pt idx="3">
                  <c:v>229.06425781249999</c:v>
                </c:pt>
                <c:pt idx="4">
                  <c:v>183.17934931506849</c:v>
                </c:pt>
              </c:numCache>
            </c:numRef>
          </c:val>
          <c:extLst>
            <c:ext xmlns:c16="http://schemas.microsoft.com/office/drawing/2014/chart" uri="{C3380CC4-5D6E-409C-BE32-E72D297353CC}">
              <c16:uniqueId val="{00000000-DB10-4323-BB32-D8E61AAB4D58}"/>
            </c:ext>
          </c:extLst>
        </c:ser>
        <c:dLbls>
          <c:dLblPos val="outEnd"/>
          <c:showLegendKey val="0"/>
          <c:showVal val="1"/>
          <c:showCatName val="0"/>
          <c:showSerName val="0"/>
          <c:showPercent val="0"/>
          <c:showBubbleSize val="0"/>
        </c:dLbls>
        <c:gapWidth val="182"/>
        <c:axId val="1374896415"/>
        <c:axId val="1374891839"/>
      </c:barChart>
      <c:catAx>
        <c:axId val="137489641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374891839"/>
        <c:crosses val="autoZero"/>
        <c:auto val="1"/>
        <c:lblAlgn val="ctr"/>
        <c:lblOffset val="100"/>
        <c:noMultiLvlLbl val="0"/>
      </c:catAx>
      <c:valAx>
        <c:axId val="1374891839"/>
        <c:scaling>
          <c:orientation val="minMax"/>
        </c:scaling>
        <c:delete val="1"/>
        <c:axPos val="b"/>
        <c:numFmt formatCode="&quot;$&quot;#,##0.00" sourceLinked="1"/>
        <c:majorTickMark val="none"/>
        <c:minorTickMark val="none"/>
        <c:tickLblPos val="nextTo"/>
        <c:crossAx val="1374896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[supply-chain-logistics-analysis-dashboard.xlsx]Calculations!PivotTable4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bg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bg1"/>
          </a:solidFill>
          <a:ln w="19050">
            <a:noFill/>
          </a:ln>
          <a:effectLst/>
        </c:spPr>
      </c:pivotFmt>
      <c:pivotFmt>
        <c:idx val="19"/>
        <c:spPr>
          <a:solidFill>
            <a:schemeClr val="bg1"/>
          </a:solidFill>
          <a:ln w="19050">
            <a:noFill/>
          </a:ln>
          <a:effectLst/>
        </c:spPr>
      </c:pivotFmt>
      <c:pivotFmt>
        <c:idx val="20"/>
        <c:spPr>
          <a:solidFill>
            <a:schemeClr val="bg1"/>
          </a:solidFill>
          <a:ln w="19050">
            <a:noFill/>
          </a:ln>
          <a:effectLst/>
        </c:spPr>
      </c:pivotFmt>
      <c:pivotFmt>
        <c:idx val="21"/>
        <c:spPr>
          <a:solidFill>
            <a:schemeClr val="bg1"/>
          </a:solidFill>
          <a:ln w="19050">
            <a:noFill/>
          </a:ln>
          <a:effectLst/>
        </c:spPr>
      </c:pivotFmt>
      <c:pivotFmt>
        <c:idx val="22"/>
        <c:spPr>
          <a:solidFill>
            <a:schemeClr val="bg1"/>
          </a:solidFill>
          <a:ln w="19050">
            <a:noFill/>
          </a:ln>
          <a:effectLst/>
        </c:spPr>
      </c:pivotFmt>
      <c:pivotFmt>
        <c:idx val="23"/>
        <c:spPr>
          <a:solidFill>
            <a:schemeClr val="bg1"/>
          </a:solidFill>
          <a:ln w="19050">
            <a:noFill/>
          </a:ln>
          <a:effectLst/>
        </c:spPr>
      </c:pivotFmt>
      <c:pivotFmt>
        <c:idx val="24"/>
        <c:spPr>
          <a:solidFill>
            <a:schemeClr val="bg1"/>
          </a:solidFill>
          <a:ln w="19050">
            <a:noFill/>
          </a:ln>
          <a:effectLst/>
        </c:spPr>
      </c:pivotFmt>
    </c:pivotFmts>
    <c:plotArea>
      <c:layout>
        <c:manualLayout>
          <c:layoutTarget val="inner"/>
          <c:xMode val="edge"/>
          <c:yMode val="edge"/>
          <c:x val="3.6801897224775844E-2"/>
          <c:y val="2.0997369542130589E-2"/>
          <c:w val="0.87225068947599838"/>
          <c:h val="0.90201227547005736"/>
        </c:manualLayout>
      </c:layout>
      <c:doughnutChart>
        <c:varyColors val="1"/>
        <c:ser>
          <c:idx val="0"/>
          <c:order val="0"/>
          <c:tx>
            <c:strRef>
              <c:f>Calculations!$J$7</c:f>
              <c:strCache>
                <c:ptCount val="1"/>
                <c:pt idx="0">
                  <c:v>Total</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FE0A-410C-8A33-C92347CB48FB}"/>
              </c:ext>
            </c:extLst>
          </c:dPt>
          <c:dPt>
            <c:idx val="1"/>
            <c:bubble3D val="0"/>
            <c:spPr>
              <a:solidFill>
                <a:schemeClr val="bg1"/>
              </a:solidFill>
              <a:ln w="19050">
                <a:noFill/>
              </a:ln>
              <a:effectLst/>
            </c:spPr>
            <c:extLst>
              <c:ext xmlns:c16="http://schemas.microsoft.com/office/drawing/2014/chart" uri="{C3380CC4-5D6E-409C-BE32-E72D297353CC}">
                <c16:uniqueId val="{00000003-FE0A-410C-8A33-C92347CB48FB}"/>
              </c:ext>
            </c:extLst>
          </c:dPt>
          <c:dPt>
            <c:idx val="2"/>
            <c:bubble3D val="0"/>
            <c:spPr>
              <a:solidFill>
                <a:schemeClr val="bg1"/>
              </a:solidFill>
              <a:ln w="19050">
                <a:noFill/>
              </a:ln>
              <a:effectLst/>
            </c:spPr>
            <c:extLst>
              <c:ext xmlns:c16="http://schemas.microsoft.com/office/drawing/2014/chart" uri="{C3380CC4-5D6E-409C-BE32-E72D297353CC}">
                <c16:uniqueId val="{00000005-FE0A-410C-8A33-C92347CB48FB}"/>
              </c:ext>
            </c:extLst>
          </c:dPt>
          <c:dPt>
            <c:idx val="3"/>
            <c:bubble3D val="0"/>
            <c:spPr>
              <a:solidFill>
                <a:schemeClr val="bg1"/>
              </a:solidFill>
              <a:ln w="19050">
                <a:noFill/>
              </a:ln>
              <a:effectLst/>
            </c:spPr>
            <c:extLst>
              <c:ext xmlns:c16="http://schemas.microsoft.com/office/drawing/2014/chart" uri="{C3380CC4-5D6E-409C-BE32-E72D297353CC}">
                <c16:uniqueId val="{00000007-FE0A-410C-8A33-C92347CB48FB}"/>
              </c:ext>
            </c:extLst>
          </c:dPt>
          <c:dPt>
            <c:idx val="4"/>
            <c:bubble3D val="0"/>
            <c:spPr>
              <a:solidFill>
                <a:schemeClr val="bg1"/>
              </a:solidFill>
              <a:ln w="19050">
                <a:noFill/>
              </a:ln>
              <a:effectLst/>
            </c:spPr>
            <c:extLst>
              <c:ext xmlns:c16="http://schemas.microsoft.com/office/drawing/2014/chart" uri="{C3380CC4-5D6E-409C-BE32-E72D297353CC}">
                <c16:uniqueId val="{00000009-FE0A-410C-8A33-C92347CB48FB}"/>
              </c:ext>
            </c:extLst>
          </c:dPt>
          <c:dPt>
            <c:idx val="5"/>
            <c:bubble3D val="0"/>
            <c:spPr>
              <a:solidFill>
                <a:schemeClr val="bg1"/>
              </a:solidFill>
              <a:ln w="19050">
                <a:noFill/>
              </a:ln>
              <a:effectLst/>
            </c:spPr>
            <c:extLst>
              <c:ext xmlns:c16="http://schemas.microsoft.com/office/drawing/2014/chart" uri="{C3380CC4-5D6E-409C-BE32-E72D297353CC}">
                <c16:uniqueId val="{0000000B-FE0A-410C-8A33-C92347CB48FB}"/>
              </c:ext>
            </c:extLst>
          </c:dPt>
          <c:dPt>
            <c:idx val="6"/>
            <c:bubble3D val="0"/>
            <c:spPr>
              <a:solidFill>
                <a:schemeClr val="bg1"/>
              </a:solidFill>
              <a:ln w="19050">
                <a:noFill/>
              </a:ln>
              <a:effectLst/>
            </c:spPr>
            <c:extLst>
              <c:ext xmlns:c16="http://schemas.microsoft.com/office/drawing/2014/chart" uri="{C3380CC4-5D6E-409C-BE32-E72D297353CC}">
                <c16:uniqueId val="{0000000D-FE0A-410C-8A33-C92347CB48FB}"/>
              </c:ext>
            </c:extLst>
          </c:dPt>
          <c:cat>
            <c:strRef>
              <c:f>Calculations!$I$8:$I$12</c:f>
              <c:strCache>
                <c:ptCount val="5"/>
                <c:pt idx="0">
                  <c:v>Amazon</c:v>
                </c:pt>
                <c:pt idx="1">
                  <c:v>DHL</c:v>
                </c:pt>
                <c:pt idx="2">
                  <c:v>LaserShip</c:v>
                </c:pt>
                <c:pt idx="3">
                  <c:v>UPS</c:v>
                </c:pt>
                <c:pt idx="4">
                  <c:v>USPS</c:v>
                </c:pt>
              </c:strCache>
            </c:strRef>
          </c:cat>
          <c:val>
            <c:numRef>
              <c:f>Calculations!$J$8:$J$12</c:f>
              <c:numCache>
                <c:formatCode>0%;\-0%;0%</c:formatCode>
                <c:ptCount val="5"/>
                <c:pt idx="0">
                  <c:v>0.79197080291970801</c:v>
                </c:pt>
                <c:pt idx="1">
                  <c:v>0.8220640569395018</c:v>
                </c:pt>
                <c:pt idx="2">
                  <c:v>0.81848184818481851</c:v>
                </c:pt>
                <c:pt idx="3">
                  <c:v>0.86328125</c:v>
                </c:pt>
                <c:pt idx="4">
                  <c:v>0.81849315068493156</c:v>
                </c:pt>
              </c:numCache>
            </c:numRef>
          </c:val>
          <c:extLst>
            <c:ext xmlns:c16="http://schemas.microsoft.com/office/drawing/2014/chart" uri="{C3380CC4-5D6E-409C-BE32-E72D297353CC}">
              <c16:uniqueId val="{0000000E-FE0A-410C-8A33-C92347CB48F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[supply-chain-logistics-analysis-dashboard.xlsx]Calculations!PivotTable5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7C9C4"/>
          </a:solidFill>
          <a:ln>
            <a:solidFill>
              <a:srgbClr val="03CFA8">
                <a:alpha val="98000"/>
              </a:srgbClr>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66220227144504"/>
          <c:y val="6.6666666666666671E-3"/>
          <c:w val="0.74768742692210199"/>
          <c:h val="0.99333333333333329"/>
        </c:manualLayout>
      </c:layout>
      <c:barChart>
        <c:barDir val="bar"/>
        <c:grouping val="clustered"/>
        <c:varyColors val="0"/>
        <c:ser>
          <c:idx val="0"/>
          <c:order val="0"/>
          <c:tx>
            <c:strRef>
              <c:f>Calculations!$G$19</c:f>
              <c:strCache>
                <c:ptCount val="1"/>
                <c:pt idx="0">
                  <c:v>Total</c:v>
                </c:pt>
              </c:strCache>
            </c:strRef>
          </c:tx>
          <c:spPr>
            <a:solidFill>
              <a:srgbClr val="07C9C4"/>
            </a:solidFill>
            <a:ln>
              <a:solidFill>
                <a:srgbClr val="03CFA8">
                  <a:alpha val="98000"/>
                </a:srgbClr>
              </a:solid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Calculations!$F$20:$F$24</c:f>
              <c:strCache>
                <c:ptCount val="5"/>
                <c:pt idx="0">
                  <c:v>Amazon</c:v>
                </c:pt>
                <c:pt idx="1">
                  <c:v>DHL</c:v>
                </c:pt>
                <c:pt idx="2">
                  <c:v>LaserShip</c:v>
                </c:pt>
                <c:pt idx="3">
                  <c:v>UPS</c:v>
                </c:pt>
                <c:pt idx="4">
                  <c:v>USPS</c:v>
                </c:pt>
              </c:strCache>
            </c:strRef>
          </c:cat>
          <c:val>
            <c:numRef>
              <c:f>Calculations!$G$20:$G$24</c:f>
              <c:numCache>
                <c:formatCode>0.00</c:formatCode>
                <c:ptCount val="5"/>
                <c:pt idx="0">
                  <c:v>26.23868613138686</c:v>
                </c:pt>
                <c:pt idx="1">
                  <c:v>25.019217081850531</c:v>
                </c:pt>
                <c:pt idx="2">
                  <c:v>28.993729372937295</c:v>
                </c:pt>
                <c:pt idx="3">
                  <c:v>25.694921874999999</c:v>
                </c:pt>
                <c:pt idx="4">
                  <c:v>31.478082191780825</c:v>
                </c:pt>
              </c:numCache>
            </c:numRef>
          </c:val>
          <c:extLst>
            <c:ext xmlns:c16="http://schemas.microsoft.com/office/drawing/2014/chart" uri="{C3380CC4-5D6E-409C-BE32-E72D297353CC}">
              <c16:uniqueId val="{00000000-4D58-4E60-AB63-5D9F35470955}"/>
            </c:ext>
          </c:extLst>
        </c:ser>
        <c:dLbls>
          <c:dLblPos val="outEnd"/>
          <c:showLegendKey val="0"/>
          <c:showVal val="1"/>
          <c:showCatName val="0"/>
          <c:showSerName val="0"/>
          <c:showPercent val="0"/>
          <c:showBubbleSize val="0"/>
        </c:dLbls>
        <c:gapWidth val="182"/>
        <c:axId val="1448556239"/>
        <c:axId val="1448551663"/>
      </c:barChart>
      <c:catAx>
        <c:axId val="144855623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448551663"/>
        <c:crosses val="autoZero"/>
        <c:auto val="1"/>
        <c:lblAlgn val="ctr"/>
        <c:lblOffset val="100"/>
        <c:noMultiLvlLbl val="0"/>
      </c:catAx>
      <c:valAx>
        <c:axId val="1448551663"/>
        <c:scaling>
          <c:orientation val="minMax"/>
        </c:scaling>
        <c:delete val="1"/>
        <c:axPos val="b"/>
        <c:numFmt formatCode="0.00" sourceLinked="1"/>
        <c:majorTickMark val="none"/>
        <c:minorTickMark val="none"/>
        <c:tickLblPos val="nextTo"/>
        <c:crossAx val="144855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[supply-chain-logistics-analysis-dashboard.xlsx]Calculations!PivotTable6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7C9C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33435448228546"/>
          <c:y val="1.8058686465180388E-2"/>
          <c:w val="0.77408611157647866"/>
          <c:h val="0.91572612982915835"/>
        </c:manualLayout>
      </c:layout>
      <c:barChart>
        <c:barDir val="bar"/>
        <c:grouping val="clustered"/>
        <c:varyColors val="0"/>
        <c:ser>
          <c:idx val="0"/>
          <c:order val="0"/>
          <c:tx>
            <c:strRef>
              <c:f>Calculations!$J$19</c:f>
              <c:strCache>
                <c:ptCount val="1"/>
                <c:pt idx="0">
                  <c:v>Total</c:v>
                </c:pt>
              </c:strCache>
            </c:strRef>
          </c:tx>
          <c:spPr>
            <a:solidFill>
              <a:srgbClr val="07C9C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Calculations!$I$20:$I$24</c:f>
              <c:strCache>
                <c:ptCount val="5"/>
                <c:pt idx="0">
                  <c:v>Amazon</c:v>
                </c:pt>
                <c:pt idx="1">
                  <c:v>DHL</c:v>
                </c:pt>
                <c:pt idx="2">
                  <c:v>LaserShip</c:v>
                </c:pt>
                <c:pt idx="3">
                  <c:v>UPS</c:v>
                </c:pt>
                <c:pt idx="4">
                  <c:v>USPS</c:v>
                </c:pt>
              </c:strCache>
            </c:strRef>
          </c:cat>
          <c:val>
            <c:numRef>
              <c:f>Calculations!$J$20:$J$24</c:f>
              <c:numCache>
                <c:formatCode>0.0</c:formatCode>
                <c:ptCount val="5"/>
                <c:pt idx="0">
                  <c:v>4.3248175182481754</c:v>
                </c:pt>
                <c:pt idx="1">
                  <c:v>4.2704626334519569</c:v>
                </c:pt>
                <c:pt idx="2">
                  <c:v>4.0363036303630366</c:v>
                </c:pt>
                <c:pt idx="3">
                  <c:v>4.19921875</c:v>
                </c:pt>
                <c:pt idx="4">
                  <c:v>4.0479452054794525</c:v>
                </c:pt>
              </c:numCache>
            </c:numRef>
          </c:val>
          <c:extLst>
            <c:ext xmlns:c16="http://schemas.microsoft.com/office/drawing/2014/chart" uri="{C3380CC4-5D6E-409C-BE32-E72D297353CC}">
              <c16:uniqueId val="{00000000-287F-41A7-8365-948107DC6CD8}"/>
            </c:ext>
          </c:extLst>
        </c:ser>
        <c:dLbls>
          <c:dLblPos val="outEnd"/>
          <c:showLegendKey val="0"/>
          <c:showVal val="1"/>
          <c:showCatName val="0"/>
          <c:showSerName val="0"/>
          <c:showPercent val="0"/>
          <c:showBubbleSize val="0"/>
        </c:dLbls>
        <c:gapWidth val="182"/>
        <c:axId val="1374404703"/>
        <c:axId val="1455854415"/>
      </c:barChart>
      <c:catAx>
        <c:axId val="13744047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455854415"/>
        <c:crosses val="autoZero"/>
        <c:auto val="1"/>
        <c:lblAlgn val="ctr"/>
        <c:lblOffset val="100"/>
        <c:noMultiLvlLbl val="0"/>
      </c:catAx>
      <c:valAx>
        <c:axId val="1455854415"/>
        <c:scaling>
          <c:orientation val="minMax"/>
        </c:scaling>
        <c:delete val="1"/>
        <c:axPos val="b"/>
        <c:numFmt formatCode="0.0" sourceLinked="1"/>
        <c:majorTickMark val="none"/>
        <c:minorTickMark val="none"/>
        <c:tickLblPos val="nextTo"/>
        <c:crossAx val="137440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[supply-chain-logistics-analysis-dashboard.xlsx]Calculations!PivotTable7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7C9C4"/>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Calculations!$N$7</c:f>
              <c:strCache>
                <c:ptCount val="1"/>
                <c:pt idx="0">
                  <c:v>Total</c:v>
                </c:pt>
              </c:strCache>
            </c:strRef>
          </c:tx>
          <c:spPr>
            <a:solidFill>
              <a:srgbClr val="07C9C4"/>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Calculations!$M$8:$M$14</c:f>
              <c:strCache>
                <c:ptCount val="7"/>
                <c:pt idx="0">
                  <c:v>Atlanta</c:v>
                </c:pt>
                <c:pt idx="1">
                  <c:v>Chicago</c:v>
                </c:pt>
                <c:pt idx="2">
                  <c:v>Denver</c:v>
                </c:pt>
                <c:pt idx="3">
                  <c:v>Houston</c:v>
                </c:pt>
                <c:pt idx="4">
                  <c:v>Miami</c:v>
                </c:pt>
                <c:pt idx="5">
                  <c:v>Minneapolis</c:v>
                </c:pt>
                <c:pt idx="6">
                  <c:v>Portland</c:v>
                </c:pt>
              </c:strCache>
            </c:strRef>
          </c:cat>
          <c:val>
            <c:numRef>
              <c:f>Calculations!$N$8:$N$14</c:f>
              <c:numCache>
                <c:formatCode>0%</c:formatCode>
                <c:ptCount val="7"/>
                <c:pt idx="0">
                  <c:v>0.88043478260869568</c:v>
                </c:pt>
                <c:pt idx="1">
                  <c:v>0.83898305084745761</c:v>
                </c:pt>
                <c:pt idx="2">
                  <c:v>0.83908045977011492</c:v>
                </c:pt>
                <c:pt idx="3">
                  <c:v>0.83333333333333337</c:v>
                </c:pt>
                <c:pt idx="4">
                  <c:v>0.83720930232558144</c:v>
                </c:pt>
                <c:pt idx="5">
                  <c:v>0.85849056603773588</c:v>
                </c:pt>
                <c:pt idx="6">
                  <c:v>0.86792452830188682</c:v>
                </c:pt>
              </c:numCache>
            </c:numRef>
          </c:val>
          <c:extLst>
            <c:ext xmlns:c16="http://schemas.microsoft.com/office/drawing/2014/chart" uri="{C3380CC4-5D6E-409C-BE32-E72D297353CC}">
              <c16:uniqueId val="{00000000-06F0-4ECE-BAB5-AE979A2CC9EE}"/>
            </c:ext>
          </c:extLst>
        </c:ser>
        <c:dLbls>
          <c:dLblPos val="outEnd"/>
          <c:showLegendKey val="0"/>
          <c:showVal val="1"/>
          <c:showCatName val="0"/>
          <c:showSerName val="0"/>
          <c:showPercent val="0"/>
          <c:showBubbleSize val="0"/>
        </c:dLbls>
        <c:gapWidth val="182"/>
        <c:axId val="1364951103"/>
        <c:axId val="1364959007"/>
      </c:barChart>
      <c:catAx>
        <c:axId val="13649511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US"/>
          </a:p>
        </c:txPr>
        <c:crossAx val="1364959007"/>
        <c:crosses val="autoZero"/>
        <c:auto val="1"/>
        <c:lblAlgn val="ctr"/>
        <c:lblOffset val="100"/>
        <c:noMultiLvlLbl val="0"/>
      </c:catAx>
      <c:valAx>
        <c:axId val="1364959007"/>
        <c:scaling>
          <c:orientation val="minMax"/>
        </c:scaling>
        <c:delete val="1"/>
        <c:axPos val="b"/>
        <c:numFmt formatCode="0%" sourceLinked="1"/>
        <c:majorTickMark val="none"/>
        <c:minorTickMark val="none"/>
        <c:tickLblPos val="nextTo"/>
        <c:crossAx val="136495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svg"/><Relationship Id="rId2" Type="http://schemas.openxmlformats.org/officeDocument/2006/relationships/chart" Target="../charts/chart2.xml"/><Relationship Id="rId16" Type="http://schemas.microsoft.com/office/2007/relationships/hdphoto" Target="../media/hdphoto1.wdp"/><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xdr:col>
      <xdr:colOff>223630</xdr:colOff>
      <xdr:row>2</xdr:row>
      <xdr:rowOff>1</xdr:rowOff>
    </xdr:from>
    <xdr:to>
      <xdr:col>20</xdr:col>
      <xdr:colOff>400050</xdr:colOff>
      <xdr:row>37</xdr:row>
      <xdr:rowOff>24849</xdr:rowOff>
    </xdr:to>
    <xdr:grpSp>
      <xdr:nvGrpSpPr>
        <xdr:cNvPr id="2" name="Group 1">
          <a:extLst>
            <a:ext uri="{FF2B5EF4-FFF2-40B4-BE49-F238E27FC236}">
              <a16:creationId xmlns:a16="http://schemas.microsoft.com/office/drawing/2014/main" id="{56031B65-A382-4AB1-949C-E929EE4E8387}"/>
            </a:ext>
          </a:extLst>
        </xdr:cNvPr>
        <xdr:cNvGrpSpPr/>
      </xdr:nvGrpSpPr>
      <xdr:grpSpPr>
        <a:xfrm>
          <a:off x="833230" y="381001"/>
          <a:ext cx="11758820" cy="6692348"/>
          <a:chOff x="192411" y="-125628"/>
          <a:chExt cx="11759347" cy="6798416"/>
        </a:xfrm>
      </xdr:grpSpPr>
      <xdr:sp macro="" textlink="">
        <xdr:nvSpPr>
          <xdr:cNvPr id="3" name="Rectangle: Rounded Corners 2">
            <a:extLst>
              <a:ext uri="{FF2B5EF4-FFF2-40B4-BE49-F238E27FC236}">
                <a16:creationId xmlns:a16="http://schemas.microsoft.com/office/drawing/2014/main" id="{F93C4F5E-60AC-4566-B4DB-432582C1E7F8}"/>
              </a:ext>
            </a:extLst>
          </xdr:cNvPr>
          <xdr:cNvSpPr/>
        </xdr:nvSpPr>
        <xdr:spPr>
          <a:xfrm>
            <a:off x="192411" y="-125628"/>
            <a:ext cx="11759347" cy="6798416"/>
          </a:xfrm>
          <a:prstGeom prst="roundRect">
            <a:avLst>
              <a:gd name="adj" fmla="val 1340"/>
            </a:avLst>
          </a:prstGeom>
          <a:gradFill>
            <a:gsLst>
              <a:gs pos="12000">
                <a:srgbClr val="045560"/>
              </a:gs>
              <a:gs pos="34000">
                <a:srgbClr val="000000"/>
              </a:gs>
            </a:gsLst>
            <a:lin ang="42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4" name="Rectangle 3">
            <a:extLst>
              <a:ext uri="{FF2B5EF4-FFF2-40B4-BE49-F238E27FC236}">
                <a16:creationId xmlns:a16="http://schemas.microsoft.com/office/drawing/2014/main" id="{A6E0BBAB-48E1-4123-9EEB-23CF19E0037A}"/>
              </a:ext>
            </a:extLst>
          </xdr:cNvPr>
          <xdr:cNvSpPr/>
        </xdr:nvSpPr>
        <xdr:spPr>
          <a:xfrm>
            <a:off x="200649" y="2686711"/>
            <a:ext cx="1499476" cy="3800970"/>
          </a:xfrm>
          <a:prstGeom prst="rect">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5" name="Rectangle: Rounded Corners 4">
            <a:extLst>
              <a:ext uri="{FF2B5EF4-FFF2-40B4-BE49-F238E27FC236}">
                <a16:creationId xmlns:a16="http://schemas.microsoft.com/office/drawing/2014/main" id="{E95CD55C-F065-4E7E-B60B-934F154E2755}"/>
              </a:ext>
            </a:extLst>
          </xdr:cNvPr>
          <xdr:cNvSpPr/>
        </xdr:nvSpPr>
        <xdr:spPr>
          <a:xfrm>
            <a:off x="1891719" y="895926"/>
            <a:ext cx="1516113"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6" name="Rectangle: Rounded Corners 5">
            <a:extLst>
              <a:ext uri="{FF2B5EF4-FFF2-40B4-BE49-F238E27FC236}">
                <a16:creationId xmlns:a16="http://schemas.microsoft.com/office/drawing/2014/main" id="{FA75B479-1D0D-41B0-AD50-BED2D38505A1}"/>
              </a:ext>
            </a:extLst>
          </xdr:cNvPr>
          <xdr:cNvSpPr/>
        </xdr:nvSpPr>
        <xdr:spPr>
          <a:xfrm>
            <a:off x="3484033" y="895926"/>
            <a:ext cx="1285875"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7" name="Rectangle: Rounded Corners 6">
            <a:extLst>
              <a:ext uri="{FF2B5EF4-FFF2-40B4-BE49-F238E27FC236}">
                <a16:creationId xmlns:a16="http://schemas.microsoft.com/office/drawing/2014/main" id="{8C52CAAA-FAFF-4B67-8388-BAA6B8CA8E6B}"/>
              </a:ext>
            </a:extLst>
          </xdr:cNvPr>
          <xdr:cNvSpPr/>
        </xdr:nvSpPr>
        <xdr:spPr>
          <a:xfrm>
            <a:off x="4827059" y="895926"/>
            <a:ext cx="1257300"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8" name="Rectangle: Rounded Corners 7">
            <a:extLst>
              <a:ext uri="{FF2B5EF4-FFF2-40B4-BE49-F238E27FC236}">
                <a16:creationId xmlns:a16="http://schemas.microsoft.com/office/drawing/2014/main" id="{CD0D74AE-1DB3-4BDF-B002-9D19F32CD68A}"/>
              </a:ext>
            </a:extLst>
          </xdr:cNvPr>
          <xdr:cNvSpPr/>
        </xdr:nvSpPr>
        <xdr:spPr>
          <a:xfrm>
            <a:off x="6160559" y="895926"/>
            <a:ext cx="1295400"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9" name="Rectangle: Rounded Corners 8">
            <a:extLst>
              <a:ext uri="{FF2B5EF4-FFF2-40B4-BE49-F238E27FC236}">
                <a16:creationId xmlns:a16="http://schemas.microsoft.com/office/drawing/2014/main" id="{AFAB841E-6CAD-4996-B044-26EA5255AC47}"/>
              </a:ext>
            </a:extLst>
          </xdr:cNvPr>
          <xdr:cNvSpPr/>
        </xdr:nvSpPr>
        <xdr:spPr>
          <a:xfrm>
            <a:off x="7545339" y="895926"/>
            <a:ext cx="1162986" cy="92538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0" name="Rectangle: Rounded Corners 9">
            <a:extLst>
              <a:ext uri="{FF2B5EF4-FFF2-40B4-BE49-F238E27FC236}">
                <a16:creationId xmlns:a16="http://schemas.microsoft.com/office/drawing/2014/main" id="{263A41DE-5672-48F4-93CC-BD7BDA89ECF8}"/>
              </a:ext>
            </a:extLst>
          </xdr:cNvPr>
          <xdr:cNvSpPr/>
        </xdr:nvSpPr>
        <xdr:spPr>
          <a:xfrm>
            <a:off x="8866138" y="895926"/>
            <a:ext cx="2713673" cy="211340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1" name="Rectangle: Rounded Corners 10">
            <a:extLst>
              <a:ext uri="{FF2B5EF4-FFF2-40B4-BE49-F238E27FC236}">
                <a16:creationId xmlns:a16="http://schemas.microsoft.com/office/drawing/2014/main" id="{4803F510-CBF2-4909-8757-72B83FE647F0}"/>
              </a:ext>
            </a:extLst>
          </xdr:cNvPr>
          <xdr:cNvSpPr/>
        </xdr:nvSpPr>
        <xdr:spPr>
          <a:xfrm>
            <a:off x="1891720" y="1954703"/>
            <a:ext cx="3243698" cy="2090286"/>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2" name="Rectangle: Rounded Corners 11">
            <a:extLst>
              <a:ext uri="{FF2B5EF4-FFF2-40B4-BE49-F238E27FC236}">
                <a16:creationId xmlns:a16="http://schemas.microsoft.com/office/drawing/2014/main" id="{9D373719-004F-46BD-A33B-36CC6E8540CE}"/>
              </a:ext>
            </a:extLst>
          </xdr:cNvPr>
          <xdr:cNvSpPr/>
        </xdr:nvSpPr>
        <xdr:spPr>
          <a:xfrm>
            <a:off x="5274733" y="1945027"/>
            <a:ext cx="3433591" cy="2099962"/>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3" name="Rectangle: Rounded Corners 12">
            <a:extLst>
              <a:ext uri="{FF2B5EF4-FFF2-40B4-BE49-F238E27FC236}">
                <a16:creationId xmlns:a16="http://schemas.microsoft.com/office/drawing/2014/main" id="{744CB986-8A95-47EE-8146-6DAE206230E1}"/>
              </a:ext>
            </a:extLst>
          </xdr:cNvPr>
          <xdr:cNvSpPr/>
        </xdr:nvSpPr>
        <xdr:spPr>
          <a:xfrm>
            <a:off x="8865755" y="3168072"/>
            <a:ext cx="2743432" cy="336911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sp macro="" textlink="">
        <xdr:nvSpPr>
          <xdr:cNvPr id="14" name="Rectangle: Rounded Corners 13">
            <a:extLst>
              <a:ext uri="{FF2B5EF4-FFF2-40B4-BE49-F238E27FC236}">
                <a16:creationId xmlns:a16="http://schemas.microsoft.com/office/drawing/2014/main" id="{314088EB-0EBE-4189-A8C1-2EA078517314}"/>
              </a:ext>
            </a:extLst>
          </xdr:cNvPr>
          <xdr:cNvSpPr/>
        </xdr:nvSpPr>
        <xdr:spPr>
          <a:xfrm>
            <a:off x="1891718" y="4160823"/>
            <a:ext cx="6787232" cy="2376364"/>
          </a:xfrm>
          <a:prstGeom prst="roundRect">
            <a:avLst>
              <a:gd name="adj" fmla="val 8900"/>
            </a:avLst>
          </a:prstGeom>
          <a:solidFill>
            <a:srgbClr val="181B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clientData/>
  </xdr:twoCellAnchor>
  <xdr:twoCellAnchor>
    <xdr:from>
      <xdr:col>4</xdr:col>
      <xdr:colOff>446257</xdr:colOff>
      <xdr:row>9</xdr:row>
      <xdr:rowOff>15199</xdr:rowOff>
    </xdr:from>
    <xdr:to>
      <xdr:col>6</xdr:col>
      <xdr:colOff>370057</xdr:colOff>
      <xdr:row>11</xdr:row>
      <xdr:rowOff>72349</xdr:rowOff>
    </xdr:to>
    <xdr:sp macro="" textlink="Calculations!B4">
      <xdr:nvSpPr>
        <xdr:cNvPr id="16" name="TextBox 15">
          <a:extLst>
            <a:ext uri="{FF2B5EF4-FFF2-40B4-BE49-F238E27FC236}">
              <a16:creationId xmlns:a16="http://schemas.microsoft.com/office/drawing/2014/main" id="{5F6CEC9C-B59F-4435-BB38-98387DA3FD97}"/>
            </a:ext>
          </a:extLst>
        </xdr:cNvPr>
        <xdr:cNvSpPr txBox="1"/>
      </xdr:nvSpPr>
      <xdr:spPr>
        <a:xfrm>
          <a:off x="2878172" y="1729699"/>
          <a:ext cx="1139757"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5E70CA-9723-4867-84F9-4422A5C74A13}"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marL="0" indent="0"/>
            <a:t>1,406</a:t>
          </a:fld>
          <a:endParaRPr lang="en-US" sz="2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7</xdr:col>
      <xdr:colOff>238125</xdr:colOff>
      <xdr:row>9</xdr:row>
      <xdr:rowOff>85725</xdr:rowOff>
    </xdr:from>
    <xdr:to>
      <xdr:col>9</xdr:col>
      <xdr:colOff>133350</xdr:colOff>
      <xdr:row>11</xdr:row>
      <xdr:rowOff>19050</xdr:rowOff>
    </xdr:to>
    <xdr:sp macro="" textlink="Calculations!C4">
      <xdr:nvSpPr>
        <xdr:cNvPr id="17" name="TextBox 16">
          <a:extLst>
            <a:ext uri="{FF2B5EF4-FFF2-40B4-BE49-F238E27FC236}">
              <a16:creationId xmlns:a16="http://schemas.microsoft.com/office/drawing/2014/main" id="{316C5F83-46B2-40B3-90B4-4A3C48088794}"/>
            </a:ext>
          </a:extLst>
        </xdr:cNvPr>
        <xdr:cNvSpPr txBox="1"/>
      </xdr:nvSpPr>
      <xdr:spPr>
        <a:xfrm>
          <a:off x="5114925" y="1419225"/>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A646E63-4A23-4450-9BE5-1A17AF59F950}"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t>82%</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9</xdr:col>
      <xdr:colOff>76200</xdr:colOff>
      <xdr:row>9</xdr:row>
      <xdr:rowOff>76200</xdr:rowOff>
    </xdr:from>
    <xdr:to>
      <xdr:col>10</xdr:col>
      <xdr:colOff>581025</xdr:colOff>
      <xdr:row>11</xdr:row>
      <xdr:rowOff>9525</xdr:rowOff>
    </xdr:to>
    <xdr:sp macro="" textlink="Calculations!D4">
      <xdr:nvSpPr>
        <xdr:cNvPr id="18" name="TextBox 17">
          <a:extLst>
            <a:ext uri="{FF2B5EF4-FFF2-40B4-BE49-F238E27FC236}">
              <a16:creationId xmlns:a16="http://schemas.microsoft.com/office/drawing/2014/main" id="{62F4ED1A-BA1E-4025-8626-7836CBC46948}"/>
            </a:ext>
          </a:extLst>
        </xdr:cNvPr>
        <xdr:cNvSpPr txBox="1"/>
      </xdr:nvSpPr>
      <xdr:spPr>
        <a:xfrm>
          <a:off x="6172200" y="1409700"/>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752A73-019F-4984-AA32-FF7F7DA41CBF}"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t>$206.57</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11</xdr:col>
      <xdr:colOff>438150</xdr:colOff>
      <xdr:row>9</xdr:row>
      <xdr:rowOff>66675</xdr:rowOff>
    </xdr:from>
    <xdr:to>
      <xdr:col>12</xdr:col>
      <xdr:colOff>590549</xdr:colOff>
      <xdr:row>11</xdr:row>
      <xdr:rowOff>19050</xdr:rowOff>
    </xdr:to>
    <xdr:sp macro="" textlink="Calculations!E4">
      <xdr:nvSpPr>
        <xdr:cNvPr id="19" name="TextBox 18">
          <a:extLst>
            <a:ext uri="{FF2B5EF4-FFF2-40B4-BE49-F238E27FC236}">
              <a16:creationId xmlns:a16="http://schemas.microsoft.com/office/drawing/2014/main" id="{AE531D53-7625-4AEA-A01D-BF6A3D190C5F}"/>
            </a:ext>
          </a:extLst>
        </xdr:cNvPr>
        <xdr:cNvSpPr txBox="1"/>
      </xdr:nvSpPr>
      <xdr:spPr>
        <a:xfrm>
          <a:off x="7753350" y="1400175"/>
          <a:ext cx="761999"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52FA989-FEF4-4193-A016-BE72A5579E74}"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t>4Days</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13</xdr:col>
      <xdr:colOff>428625</xdr:colOff>
      <xdr:row>9</xdr:row>
      <xdr:rowOff>85725</xdr:rowOff>
    </xdr:from>
    <xdr:to>
      <xdr:col>15</xdr:col>
      <xdr:colOff>323850</xdr:colOff>
      <xdr:row>11</xdr:row>
      <xdr:rowOff>19050</xdr:rowOff>
    </xdr:to>
    <xdr:sp macro="" textlink="Calculations!F4">
      <xdr:nvSpPr>
        <xdr:cNvPr id="20" name="TextBox 19">
          <a:extLst>
            <a:ext uri="{FF2B5EF4-FFF2-40B4-BE49-F238E27FC236}">
              <a16:creationId xmlns:a16="http://schemas.microsoft.com/office/drawing/2014/main" id="{B84D0DF2-3074-4EEC-A729-FD439F0D48B9}"/>
            </a:ext>
          </a:extLst>
        </xdr:cNvPr>
        <xdr:cNvSpPr txBox="1"/>
      </xdr:nvSpPr>
      <xdr:spPr>
        <a:xfrm>
          <a:off x="8963025" y="1419225"/>
          <a:ext cx="11144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CDA399-DF3D-4150-9A3D-C58E286924A9}"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t>1276.05</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4</xdr:col>
      <xdr:colOff>66675</xdr:colOff>
      <xdr:row>15</xdr:row>
      <xdr:rowOff>19051</xdr:rowOff>
    </xdr:from>
    <xdr:to>
      <xdr:col>9</xdr:col>
      <xdr:colOff>276225</xdr:colOff>
      <xdr:row>22</xdr:row>
      <xdr:rowOff>190499</xdr:rowOff>
    </xdr:to>
    <xdr:graphicFrame macro="">
      <xdr:nvGraphicFramePr>
        <xdr:cNvPr id="21" name="Chart 20">
          <a:extLst>
            <a:ext uri="{FF2B5EF4-FFF2-40B4-BE49-F238E27FC236}">
              <a16:creationId xmlns:a16="http://schemas.microsoft.com/office/drawing/2014/main" id="{2181EC04-84D5-46D4-B105-21D38707D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495300</xdr:colOff>
      <xdr:row>14</xdr:row>
      <xdr:rowOff>95250</xdr:rowOff>
    </xdr:from>
    <xdr:to>
      <xdr:col>15</xdr:col>
      <xdr:colOff>66675</xdr:colOff>
      <xdr:row>23</xdr:row>
      <xdr:rowOff>76200</xdr:rowOff>
    </xdr:to>
    <xdr:graphicFrame macro="">
      <xdr:nvGraphicFramePr>
        <xdr:cNvPr id="22" name="Chart 21">
          <a:extLst>
            <a:ext uri="{FF2B5EF4-FFF2-40B4-BE49-F238E27FC236}">
              <a16:creationId xmlns:a16="http://schemas.microsoft.com/office/drawing/2014/main" id="{2097ACCA-B394-4310-8C1F-31DF013E8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203688</xdr:colOff>
      <xdr:row>9</xdr:row>
      <xdr:rowOff>24179</xdr:rowOff>
    </xdr:from>
    <xdr:to>
      <xdr:col>19</xdr:col>
      <xdr:colOff>222737</xdr:colOff>
      <xdr:row>17</xdr:row>
      <xdr:rowOff>181342</xdr:rowOff>
    </xdr:to>
    <xdr:graphicFrame macro="">
      <xdr:nvGraphicFramePr>
        <xdr:cNvPr id="23" name="Chart 22">
          <a:extLst>
            <a:ext uri="{FF2B5EF4-FFF2-40B4-BE49-F238E27FC236}">
              <a16:creationId xmlns:a16="http://schemas.microsoft.com/office/drawing/2014/main" id="{CB2123A1-2477-4D65-A5D3-6FFACA7C8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247650</xdr:colOff>
      <xdr:row>26</xdr:row>
      <xdr:rowOff>66675</xdr:rowOff>
    </xdr:from>
    <xdr:to>
      <xdr:col>9</xdr:col>
      <xdr:colOff>257175</xdr:colOff>
      <xdr:row>35</xdr:row>
      <xdr:rowOff>104775</xdr:rowOff>
    </xdr:to>
    <xdr:graphicFrame macro="">
      <xdr:nvGraphicFramePr>
        <xdr:cNvPr id="24" name="Chart 23">
          <a:extLst>
            <a:ext uri="{FF2B5EF4-FFF2-40B4-BE49-F238E27FC236}">
              <a16:creationId xmlns:a16="http://schemas.microsoft.com/office/drawing/2014/main" id="{DB082D82-1E8B-47E5-A7D5-122A61215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466725</xdr:colOff>
      <xdr:row>25</xdr:row>
      <xdr:rowOff>161925</xdr:rowOff>
    </xdr:from>
    <xdr:to>
      <xdr:col>14</xdr:col>
      <xdr:colOff>552450</xdr:colOff>
      <xdr:row>36</xdr:row>
      <xdr:rowOff>95250</xdr:rowOff>
    </xdr:to>
    <xdr:graphicFrame macro="">
      <xdr:nvGraphicFramePr>
        <xdr:cNvPr id="25" name="Chart 24">
          <a:extLst>
            <a:ext uri="{FF2B5EF4-FFF2-40B4-BE49-F238E27FC236}">
              <a16:creationId xmlns:a16="http://schemas.microsoft.com/office/drawing/2014/main" id="{501E0E37-3BC0-48F8-866B-43B8F1E07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361950</xdr:colOff>
      <xdr:row>20</xdr:row>
      <xdr:rowOff>95250</xdr:rowOff>
    </xdr:from>
    <xdr:to>
      <xdr:col>20</xdr:col>
      <xdr:colOff>133350</xdr:colOff>
      <xdr:row>36</xdr:row>
      <xdr:rowOff>123825</xdr:rowOff>
    </xdr:to>
    <xdr:graphicFrame macro="">
      <xdr:nvGraphicFramePr>
        <xdr:cNvPr id="26" name="Chart 25">
          <a:extLst>
            <a:ext uri="{FF2B5EF4-FFF2-40B4-BE49-F238E27FC236}">
              <a16:creationId xmlns:a16="http://schemas.microsoft.com/office/drawing/2014/main" id="{C7891C82-0CE8-4AF3-B45C-CA810DAB1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123825</xdr:colOff>
      <xdr:row>8</xdr:row>
      <xdr:rowOff>7093</xdr:rowOff>
    </xdr:from>
    <xdr:to>
      <xdr:col>6</xdr:col>
      <xdr:colOff>95250</xdr:colOff>
      <xdr:row>9</xdr:row>
      <xdr:rowOff>45193</xdr:rowOff>
    </xdr:to>
    <xdr:sp macro="" textlink="">
      <xdr:nvSpPr>
        <xdr:cNvPr id="27" name="TextBox 26">
          <a:extLst>
            <a:ext uri="{FF2B5EF4-FFF2-40B4-BE49-F238E27FC236}">
              <a16:creationId xmlns:a16="http://schemas.microsoft.com/office/drawing/2014/main" id="{5DC23148-0378-4A70-BAFD-7F5A56E4E0EE}"/>
            </a:ext>
          </a:extLst>
        </xdr:cNvPr>
        <xdr:cNvSpPr txBox="1"/>
      </xdr:nvSpPr>
      <xdr:spPr>
        <a:xfrm>
          <a:off x="2555740" y="1531093"/>
          <a:ext cx="118738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chemeClr val="bg1"/>
              </a:solidFill>
              <a:latin typeface="Segoe UI Semibold" panose="020B0702040204020203" pitchFamily="34" charset="0"/>
              <a:cs typeface="Segoe UI Semibold" panose="020B0702040204020203" pitchFamily="34" charset="0"/>
            </a:rPr>
            <a:t>Total</a:t>
          </a:r>
          <a:r>
            <a:rPr lang="en-US" sz="1050" baseline="0">
              <a:solidFill>
                <a:schemeClr val="bg1"/>
              </a:solidFill>
              <a:latin typeface="Segoe UI Semibold" panose="020B0702040204020203" pitchFamily="34" charset="0"/>
              <a:cs typeface="Segoe UI Semibold" panose="020B0702040204020203" pitchFamily="34" charset="0"/>
            </a:rPr>
            <a:t> Shipment</a:t>
          </a:r>
          <a:endParaRPr lang="en-US" sz="105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6</xdr:col>
      <xdr:colOff>571500</xdr:colOff>
      <xdr:row>8</xdr:row>
      <xdr:rowOff>66675</xdr:rowOff>
    </xdr:from>
    <xdr:to>
      <xdr:col>8</xdr:col>
      <xdr:colOff>238125</xdr:colOff>
      <xdr:row>9</xdr:row>
      <xdr:rowOff>104775</xdr:rowOff>
    </xdr:to>
    <xdr:sp macro="" textlink="">
      <xdr:nvSpPr>
        <xdr:cNvPr id="28" name="TextBox 27">
          <a:extLst>
            <a:ext uri="{FF2B5EF4-FFF2-40B4-BE49-F238E27FC236}">
              <a16:creationId xmlns:a16="http://schemas.microsoft.com/office/drawing/2014/main" id="{69D32110-A239-41CA-9337-DC0598748711}"/>
            </a:ext>
          </a:extLst>
        </xdr:cNvPr>
        <xdr:cNvSpPr txBox="1"/>
      </xdr:nvSpPr>
      <xdr:spPr>
        <a:xfrm>
          <a:off x="4838700" y="1209675"/>
          <a:ext cx="8858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Delivery Rate</a:t>
          </a:r>
        </a:p>
      </xdr:txBody>
    </xdr:sp>
    <xdr:clientData/>
  </xdr:twoCellAnchor>
  <xdr:twoCellAnchor>
    <xdr:from>
      <xdr:col>9</xdr:col>
      <xdr:colOff>57151</xdr:colOff>
      <xdr:row>8</xdr:row>
      <xdr:rowOff>66675</xdr:rowOff>
    </xdr:from>
    <xdr:to>
      <xdr:col>10</xdr:col>
      <xdr:colOff>95251</xdr:colOff>
      <xdr:row>9</xdr:row>
      <xdr:rowOff>95250</xdr:rowOff>
    </xdr:to>
    <xdr:sp macro="" textlink="">
      <xdr:nvSpPr>
        <xdr:cNvPr id="29" name="TextBox 28">
          <a:extLst>
            <a:ext uri="{FF2B5EF4-FFF2-40B4-BE49-F238E27FC236}">
              <a16:creationId xmlns:a16="http://schemas.microsoft.com/office/drawing/2014/main" id="{0A3E5034-20E6-47F1-BFF1-5334580E6BA7}"/>
            </a:ext>
          </a:extLst>
        </xdr:cNvPr>
        <xdr:cNvSpPr txBox="1"/>
      </xdr:nvSpPr>
      <xdr:spPr>
        <a:xfrm>
          <a:off x="6153151" y="1209675"/>
          <a:ext cx="6477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Avg Cost</a:t>
          </a:r>
        </a:p>
      </xdr:txBody>
    </xdr:sp>
    <xdr:clientData/>
  </xdr:twoCellAnchor>
  <xdr:twoCellAnchor>
    <xdr:from>
      <xdr:col>11</xdr:col>
      <xdr:colOff>152402</xdr:colOff>
      <xdr:row>8</xdr:row>
      <xdr:rowOff>66675</xdr:rowOff>
    </xdr:from>
    <xdr:to>
      <xdr:col>13</xdr:col>
      <xdr:colOff>95250</xdr:colOff>
      <xdr:row>9</xdr:row>
      <xdr:rowOff>104775</xdr:rowOff>
    </xdr:to>
    <xdr:sp macro="" textlink="">
      <xdr:nvSpPr>
        <xdr:cNvPr id="30" name="TextBox 29">
          <a:extLst>
            <a:ext uri="{FF2B5EF4-FFF2-40B4-BE49-F238E27FC236}">
              <a16:creationId xmlns:a16="http://schemas.microsoft.com/office/drawing/2014/main" id="{2EE1EB6B-4159-450F-8F8F-2DBBA1337FD2}"/>
            </a:ext>
          </a:extLst>
        </xdr:cNvPr>
        <xdr:cNvSpPr txBox="1"/>
      </xdr:nvSpPr>
      <xdr:spPr>
        <a:xfrm>
          <a:off x="7467602" y="1209675"/>
          <a:ext cx="116204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Avg Transit Day(s)</a:t>
          </a:r>
        </a:p>
      </xdr:txBody>
    </xdr:sp>
    <xdr:clientData/>
  </xdr:twoCellAnchor>
  <xdr:twoCellAnchor>
    <xdr:from>
      <xdr:col>13</xdr:col>
      <xdr:colOff>209553</xdr:colOff>
      <xdr:row>8</xdr:row>
      <xdr:rowOff>66675</xdr:rowOff>
    </xdr:from>
    <xdr:to>
      <xdr:col>15</xdr:col>
      <xdr:colOff>152401</xdr:colOff>
      <xdr:row>9</xdr:row>
      <xdr:rowOff>104775</xdr:rowOff>
    </xdr:to>
    <xdr:sp macro="" textlink="">
      <xdr:nvSpPr>
        <xdr:cNvPr id="31" name="TextBox 30">
          <a:extLst>
            <a:ext uri="{FF2B5EF4-FFF2-40B4-BE49-F238E27FC236}">
              <a16:creationId xmlns:a16="http://schemas.microsoft.com/office/drawing/2014/main" id="{0C47A45C-8ABC-4D9E-8FDB-A8D104A24BBD}"/>
            </a:ext>
          </a:extLst>
        </xdr:cNvPr>
        <xdr:cNvSpPr txBox="1"/>
      </xdr:nvSpPr>
      <xdr:spPr>
        <a:xfrm>
          <a:off x="8743953" y="1209675"/>
          <a:ext cx="1162048"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Avg Miles Traveles</a:t>
          </a:r>
        </a:p>
      </xdr:txBody>
    </xdr:sp>
    <xdr:clientData/>
  </xdr:twoCellAnchor>
  <xdr:twoCellAnchor>
    <xdr:from>
      <xdr:col>1</xdr:col>
      <xdr:colOff>465481</xdr:colOff>
      <xdr:row>3</xdr:row>
      <xdr:rowOff>119269</xdr:rowOff>
    </xdr:from>
    <xdr:to>
      <xdr:col>10</xdr:col>
      <xdr:colOff>277053</xdr:colOff>
      <xdr:row>6</xdr:row>
      <xdr:rowOff>37272</xdr:rowOff>
    </xdr:to>
    <xdr:sp macro="" textlink="">
      <xdr:nvSpPr>
        <xdr:cNvPr id="32" name="TextBox 31">
          <a:extLst>
            <a:ext uri="{FF2B5EF4-FFF2-40B4-BE49-F238E27FC236}">
              <a16:creationId xmlns:a16="http://schemas.microsoft.com/office/drawing/2014/main" id="{6E53A44D-6DE3-4B12-95CB-4F5CEDAC9967}"/>
            </a:ext>
          </a:extLst>
        </xdr:cNvPr>
        <xdr:cNvSpPr txBox="1"/>
      </xdr:nvSpPr>
      <xdr:spPr>
        <a:xfrm>
          <a:off x="1078394" y="690769"/>
          <a:ext cx="5327789" cy="489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latin typeface="Bahnschrift SemiLight Condensed" panose="020B0502040204020203" pitchFamily="34" charset="0"/>
              <a:cs typeface="Dubai Medium" panose="020B0603030403030204" pitchFamily="34" charset="-78"/>
            </a:rPr>
            <a:t>Supply Chain Logistics Analysis Dashboard</a:t>
          </a:r>
        </a:p>
      </xdr:txBody>
    </xdr:sp>
    <xdr:clientData/>
  </xdr:twoCellAnchor>
  <xdr:twoCellAnchor>
    <xdr:from>
      <xdr:col>9</xdr:col>
      <xdr:colOff>209550</xdr:colOff>
      <xdr:row>2</xdr:row>
      <xdr:rowOff>152814</xdr:rowOff>
    </xdr:from>
    <xdr:to>
      <xdr:col>20</xdr:col>
      <xdr:colOff>38099</xdr:colOff>
      <xdr:row>6</xdr:row>
      <xdr:rowOff>86139</xdr:rowOff>
    </xdr:to>
    <xdr:sp macro="" textlink="">
      <xdr:nvSpPr>
        <xdr:cNvPr id="38" name="Rectangle: Rounded Corners 37">
          <a:extLst>
            <a:ext uri="{FF2B5EF4-FFF2-40B4-BE49-F238E27FC236}">
              <a16:creationId xmlns:a16="http://schemas.microsoft.com/office/drawing/2014/main" id="{63238BA8-462A-434A-9FBC-91CE4A488CB5}"/>
            </a:ext>
          </a:extLst>
        </xdr:cNvPr>
        <xdr:cNvSpPr/>
      </xdr:nvSpPr>
      <xdr:spPr>
        <a:xfrm>
          <a:off x="5725767" y="533814"/>
          <a:ext cx="6570593" cy="695325"/>
        </a:xfrm>
        <a:prstGeom prst="roundRect">
          <a:avLst/>
        </a:prstGeom>
        <a:solidFill>
          <a:srgbClr val="191A2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323022</xdr:colOff>
      <xdr:row>18</xdr:row>
      <xdr:rowOff>64190</xdr:rowOff>
    </xdr:from>
    <xdr:to>
      <xdr:col>3</xdr:col>
      <xdr:colOff>372552</xdr:colOff>
      <xdr:row>30</xdr:row>
      <xdr:rowOff>64190</xdr:rowOff>
    </xdr:to>
    <mc:AlternateContent xmlns:mc="http://schemas.openxmlformats.org/markup-compatibility/2006" xmlns:a14="http://schemas.microsoft.com/office/drawing/2010/main">
      <mc:Choice Requires="a14">
        <xdr:graphicFrame macro="">
          <xdr:nvGraphicFramePr>
            <xdr:cNvPr id="37" name="Carrier">
              <a:extLst>
                <a:ext uri="{FF2B5EF4-FFF2-40B4-BE49-F238E27FC236}">
                  <a16:creationId xmlns:a16="http://schemas.microsoft.com/office/drawing/2014/main" id="{E14D7A3A-DD46-4D0F-A7C9-62B495930910}"/>
                </a:ext>
              </a:extLst>
            </xdr:cNvPr>
            <xdr:cNvGraphicFramePr/>
          </xdr:nvGraphicFramePr>
          <xdr:xfrm>
            <a:off x="0" y="0"/>
            <a:ext cx="0" cy="0"/>
          </xdr:xfrm>
          <a:graphic>
            <a:graphicData uri="http://schemas.microsoft.com/office/drawing/2010/slicer">
              <sle:slicer xmlns:sle="http://schemas.microsoft.com/office/drawing/2010/slicer" name="Carrier"/>
            </a:graphicData>
          </a:graphic>
        </xdr:graphicFrame>
      </mc:Choice>
      <mc:Fallback xmlns="">
        <xdr:sp macro="" textlink="">
          <xdr:nvSpPr>
            <xdr:cNvPr id="0" name=""/>
            <xdr:cNvSpPr>
              <a:spLocks noTextEdit="1"/>
            </xdr:cNvSpPr>
          </xdr:nvSpPr>
          <xdr:spPr>
            <a:xfrm>
              <a:off x="935935" y="3493190"/>
              <a:ext cx="1275356"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1</xdr:row>
      <xdr:rowOff>86139</xdr:rowOff>
    </xdr:from>
    <xdr:to>
      <xdr:col>20</xdr:col>
      <xdr:colOff>8792</xdr:colOff>
      <xdr:row>6</xdr:row>
      <xdr:rowOff>9939</xdr:rowOff>
    </xdr:to>
    <mc:AlternateContent xmlns:mc="http://schemas.openxmlformats.org/markup-compatibility/2006" xmlns:tsle="http://schemas.microsoft.com/office/drawing/2012/timeslicer">
      <mc:Choice Requires="tsle">
        <xdr:graphicFrame macro="">
          <xdr:nvGraphicFramePr>
            <xdr:cNvPr id="39" name="Date">
              <a:extLst>
                <a:ext uri="{FF2B5EF4-FFF2-40B4-BE49-F238E27FC236}">
                  <a16:creationId xmlns:a16="http://schemas.microsoft.com/office/drawing/2014/main" id="{5E73D3B6-6070-4E7F-8D1A-A0EABF9ADD1F}"/>
                </a:ext>
                <a:ext uri="{C183D7F6-B498-43B3-948B-1728B52AA6E4}">
                  <adec:decorative xmlns:adec="http://schemas.microsoft.com/office/drawing/2017/decorative" val="0"/>
                </a:ext>
              </a:extLst>
            </xdr:cNvPr>
            <xdr:cNvGraphicFramePr>
              <a:graphicFrameLocks/>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935317" y="276639"/>
              <a:ext cx="6331736" cy="8763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16</xdr:col>
      <xdr:colOff>470388</xdr:colOff>
      <xdr:row>11</xdr:row>
      <xdr:rowOff>128954</xdr:rowOff>
    </xdr:from>
    <xdr:to>
      <xdr:col>18</xdr:col>
      <xdr:colOff>441813</xdr:colOff>
      <xdr:row>13</xdr:row>
      <xdr:rowOff>109904</xdr:rowOff>
    </xdr:to>
    <xdr:sp macro="" textlink="Calculations!K7">
      <xdr:nvSpPr>
        <xdr:cNvPr id="41" name="TextBox 40">
          <a:extLst>
            <a:ext uri="{FF2B5EF4-FFF2-40B4-BE49-F238E27FC236}">
              <a16:creationId xmlns:a16="http://schemas.microsoft.com/office/drawing/2014/main" id="{D56FA01C-E8D8-4CDF-BA1A-6513E64963B2}"/>
            </a:ext>
          </a:extLst>
        </xdr:cNvPr>
        <xdr:cNvSpPr txBox="1"/>
      </xdr:nvSpPr>
      <xdr:spPr>
        <a:xfrm>
          <a:off x="10223988" y="2224454"/>
          <a:ext cx="11906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B331A2C-6BBF-48F2-89EF-AE3F1913DCB3}" type="TxLink">
            <a:rPr lang="en-US" sz="1600" b="0" i="0" u="none" strike="noStrike">
              <a:solidFill>
                <a:schemeClr val="bg1"/>
              </a:solidFill>
              <a:latin typeface="Segoe UI Semibold" panose="020B0702040204020203" pitchFamily="34" charset="0"/>
              <a:ea typeface="Calibri"/>
              <a:cs typeface="Segoe UI Semibold" panose="020B0702040204020203" pitchFamily="34" charset="0"/>
            </a:rPr>
            <a:pPr marL="0" indent="0" algn="ctr"/>
            <a:t>UPS</a:t>
          </a:fld>
          <a:endParaRPr lang="en-US" sz="16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16</xdr:col>
      <xdr:colOff>489438</xdr:colOff>
      <xdr:row>13</xdr:row>
      <xdr:rowOff>14654</xdr:rowOff>
    </xdr:from>
    <xdr:to>
      <xdr:col>18</xdr:col>
      <xdr:colOff>460863</xdr:colOff>
      <xdr:row>14</xdr:row>
      <xdr:rowOff>186104</xdr:rowOff>
    </xdr:to>
    <xdr:sp macro="" textlink="Calculations!K8">
      <xdr:nvSpPr>
        <xdr:cNvPr id="42" name="TextBox 41">
          <a:extLst>
            <a:ext uri="{FF2B5EF4-FFF2-40B4-BE49-F238E27FC236}">
              <a16:creationId xmlns:a16="http://schemas.microsoft.com/office/drawing/2014/main" id="{39516851-AFE4-4E90-A994-8FFB15D453AD}"/>
            </a:ext>
          </a:extLst>
        </xdr:cNvPr>
        <xdr:cNvSpPr txBox="1"/>
      </xdr:nvSpPr>
      <xdr:spPr>
        <a:xfrm>
          <a:off x="10243038" y="2491154"/>
          <a:ext cx="11906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0B4518F-A81C-4ADA-80B0-55D2BED3DEDC}" type="TxLink">
            <a:rPr lang="en-US" sz="1400" b="0" i="0" u="none" strike="noStrike">
              <a:solidFill>
                <a:schemeClr val="bg1"/>
              </a:solidFill>
              <a:latin typeface="Segoe UI Semibold" panose="020B0702040204020203" pitchFamily="34" charset="0"/>
              <a:ea typeface="Calibri"/>
              <a:cs typeface="Segoe UI Semibold" panose="020B0702040204020203" pitchFamily="34" charset="0"/>
            </a:rPr>
            <a:pPr marL="0" indent="0" algn="ctr"/>
            <a:t>86%</a:t>
          </a:fld>
          <a:endParaRPr lang="en-US" sz="1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twoCellAnchor>
  <xdr:twoCellAnchor>
    <xdr:from>
      <xdr:col>4</xdr:col>
      <xdr:colOff>447675</xdr:colOff>
      <xdr:row>13</xdr:row>
      <xdr:rowOff>95250</xdr:rowOff>
    </xdr:from>
    <xdr:to>
      <xdr:col>8</xdr:col>
      <xdr:colOff>561975</xdr:colOff>
      <xdr:row>14</xdr:row>
      <xdr:rowOff>114300</xdr:rowOff>
    </xdr:to>
    <xdr:sp macro="" textlink="">
      <xdr:nvSpPr>
        <xdr:cNvPr id="43" name="TextBox 42">
          <a:extLst>
            <a:ext uri="{FF2B5EF4-FFF2-40B4-BE49-F238E27FC236}">
              <a16:creationId xmlns:a16="http://schemas.microsoft.com/office/drawing/2014/main" id="{AA72A0C8-E3CC-451D-9D5F-FD057CACFDCD}"/>
            </a:ext>
          </a:extLst>
        </xdr:cNvPr>
        <xdr:cNvSpPr txBox="1"/>
      </xdr:nvSpPr>
      <xdr:spPr>
        <a:xfrm>
          <a:off x="2886075" y="2571750"/>
          <a:ext cx="2552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Total</a:t>
          </a:r>
          <a:r>
            <a:rPr lang="en-US" sz="900" baseline="0">
              <a:solidFill>
                <a:schemeClr val="bg1"/>
              </a:solidFill>
              <a:latin typeface="Segoe UI Semibold" panose="020B0702040204020203" pitchFamily="34" charset="0"/>
              <a:cs typeface="Segoe UI Semibold" panose="020B0702040204020203" pitchFamily="34" charset="0"/>
            </a:rPr>
            <a:t> Shipment and Delivery Count by Month</a:t>
          </a:r>
          <a:endParaRPr lang="en-US" sz="9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476250</xdr:colOff>
      <xdr:row>13</xdr:row>
      <xdr:rowOff>28575</xdr:rowOff>
    </xdr:from>
    <xdr:to>
      <xdr:col>12</xdr:col>
      <xdr:colOff>333375</xdr:colOff>
      <xdr:row>14</xdr:row>
      <xdr:rowOff>47625</xdr:rowOff>
    </xdr:to>
    <xdr:sp macro="" textlink="">
      <xdr:nvSpPr>
        <xdr:cNvPr id="44" name="TextBox 43">
          <a:extLst>
            <a:ext uri="{FF2B5EF4-FFF2-40B4-BE49-F238E27FC236}">
              <a16:creationId xmlns:a16="http://schemas.microsoft.com/office/drawing/2014/main" id="{1B6C25A5-31CB-4025-99C1-0F7B066513C3}"/>
            </a:ext>
          </a:extLst>
        </xdr:cNvPr>
        <xdr:cNvSpPr txBox="1"/>
      </xdr:nvSpPr>
      <xdr:spPr>
        <a:xfrm>
          <a:off x="6572250" y="2505075"/>
          <a:ext cx="1076325"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Carrier</a:t>
          </a:r>
          <a:r>
            <a:rPr lang="en-US" sz="900" baseline="0">
              <a:solidFill>
                <a:schemeClr val="bg1"/>
              </a:solidFill>
              <a:latin typeface="Segoe UI Semibold" panose="020B0702040204020203" pitchFamily="34" charset="0"/>
              <a:cs typeface="Segoe UI Semibold" panose="020B0702040204020203" pitchFamily="34" charset="0"/>
            </a:rPr>
            <a:t> Avg Cost</a:t>
          </a:r>
          <a:endParaRPr lang="en-US" sz="9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5</xdr:col>
      <xdr:colOff>200025</xdr:colOff>
      <xdr:row>24</xdr:row>
      <xdr:rowOff>161925</xdr:rowOff>
    </xdr:from>
    <xdr:to>
      <xdr:col>7</xdr:col>
      <xdr:colOff>180975</xdr:colOff>
      <xdr:row>26</xdr:row>
      <xdr:rowOff>9525</xdr:rowOff>
    </xdr:to>
    <xdr:sp macro="" textlink="">
      <xdr:nvSpPr>
        <xdr:cNvPr id="45" name="TextBox 44">
          <a:extLst>
            <a:ext uri="{FF2B5EF4-FFF2-40B4-BE49-F238E27FC236}">
              <a16:creationId xmlns:a16="http://schemas.microsoft.com/office/drawing/2014/main" id="{DB54B0AC-7670-4DF8-8F72-899B9F3F5873}"/>
            </a:ext>
          </a:extLst>
        </xdr:cNvPr>
        <xdr:cNvSpPr txBox="1"/>
      </xdr:nvSpPr>
      <xdr:spPr>
        <a:xfrm>
          <a:off x="3248025" y="4733925"/>
          <a:ext cx="12001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latin typeface="Segoe UI Semibold" panose="020B0702040204020203" pitchFamily="34" charset="0"/>
              <a:cs typeface="Segoe UI Semibold" panose="020B0702040204020203" pitchFamily="34" charset="0"/>
            </a:rPr>
            <a:t>Carrier</a:t>
          </a:r>
          <a:r>
            <a:rPr lang="en-US" sz="900" b="1" baseline="0">
              <a:solidFill>
                <a:schemeClr val="bg1"/>
              </a:solidFill>
              <a:latin typeface="Segoe UI Semibold" panose="020B0702040204020203" pitchFamily="34" charset="0"/>
              <a:cs typeface="Segoe UI Semibold" panose="020B0702040204020203" pitchFamily="34" charset="0"/>
            </a:rPr>
            <a:t> Avg Weight</a:t>
          </a:r>
          <a:endParaRPr lang="en-US" sz="9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352425</xdr:colOff>
      <xdr:row>24</xdr:row>
      <xdr:rowOff>152400</xdr:rowOff>
    </xdr:from>
    <xdr:to>
      <xdr:col>13</xdr:col>
      <xdr:colOff>152400</xdr:colOff>
      <xdr:row>26</xdr:row>
      <xdr:rowOff>0</xdr:rowOff>
    </xdr:to>
    <xdr:sp macro="" textlink="">
      <xdr:nvSpPr>
        <xdr:cNvPr id="46" name="TextBox 45">
          <a:extLst>
            <a:ext uri="{FF2B5EF4-FFF2-40B4-BE49-F238E27FC236}">
              <a16:creationId xmlns:a16="http://schemas.microsoft.com/office/drawing/2014/main" id="{56A0FEA3-9E8B-4978-866B-7572E559C11B}"/>
            </a:ext>
          </a:extLst>
        </xdr:cNvPr>
        <xdr:cNvSpPr txBox="1"/>
      </xdr:nvSpPr>
      <xdr:spPr>
        <a:xfrm>
          <a:off x="6448425" y="4724400"/>
          <a:ext cx="162877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bg1"/>
              </a:solidFill>
              <a:latin typeface="Segoe UI Semibold" panose="020B0702040204020203" pitchFamily="34" charset="0"/>
              <a:cs typeface="Segoe UI Semibold" panose="020B0702040204020203" pitchFamily="34" charset="0"/>
            </a:rPr>
            <a:t>Carrier</a:t>
          </a:r>
          <a:r>
            <a:rPr lang="en-US" sz="900" b="1" baseline="0">
              <a:solidFill>
                <a:schemeClr val="bg1"/>
              </a:solidFill>
              <a:latin typeface="Segoe UI Semibold" panose="020B0702040204020203" pitchFamily="34" charset="0"/>
              <a:cs typeface="Segoe UI Semibold" panose="020B0702040204020203" pitchFamily="34" charset="0"/>
            </a:rPr>
            <a:t> Avg Delivery Day(s)</a:t>
          </a:r>
          <a:endParaRPr lang="en-US" sz="900" b="1">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142874</xdr:colOff>
      <xdr:row>19</xdr:row>
      <xdr:rowOff>38099</xdr:rowOff>
    </xdr:from>
    <xdr:to>
      <xdr:col>19</xdr:col>
      <xdr:colOff>323849</xdr:colOff>
      <xdr:row>20</xdr:row>
      <xdr:rowOff>171450</xdr:rowOff>
    </xdr:to>
    <xdr:sp macro="" textlink="">
      <xdr:nvSpPr>
        <xdr:cNvPr id="47" name="TextBox 46">
          <a:extLst>
            <a:ext uri="{FF2B5EF4-FFF2-40B4-BE49-F238E27FC236}">
              <a16:creationId xmlns:a16="http://schemas.microsoft.com/office/drawing/2014/main" id="{F3312892-646A-4411-A2A8-6C6FF29F23CD}"/>
            </a:ext>
          </a:extLst>
        </xdr:cNvPr>
        <xdr:cNvSpPr txBox="1"/>
      </xdr:nvSpPr>
      <xdr:spPr>
        <a:xfrm>
          <a:off x="9896474" y="3657599"/>
          <a:ext cx="2009775"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Top 7 Destination by Delivery Rate</a:t>
          </a:r>
        </a:p>
      </xdr:txBody>
    </xdr:sp>
    <xdr:clientData/>
  </xdr:twoCellAnchor>
  <xdr:twoCellAnchor>
    <xdr:from>
      <xdr:col>17</xdr:col>
      <xdr:colOff>79861</xdr:colOff>
      <xdr:row>7</xdr:row>
      <xdr:rowOff>117230</xdr:rowOff>
    </xdr:from>
    <xdr:to>
      <xdr:col>18</xdr:col>
      <xdr:colOff>364148</xdr:colOff>
      <xdr:row>9</xdr:row>
      <xdr:rowOff>12456</xdr:rowOff>
    </xdr:to>
    <xdr:sp macro="" textlink="">
      <xdr:nvSpPr>
        <xdr:cNvPr id="48" name="TextBox 47">
          <a:extLst>
            <a:ext uri="{FF2B5EF4-FFF2-40B4-BE49-F238E27FC236}">
              <a16:creationId xmlns:a16="http://schemas.microsoft.com/office/drawing/2014/main" id="{CDC7780C-39AE-4D32-9AB9-BFDFD7E6F696}"/>
            </a:ext>
          </a:extLst>
        </xdr:cNvPr>
        <xdr:cNvSpPr txBox="1"/>
      </xdr:nvSpPr>
      <xdr:spPr>
        <a:xfrm>
          <a:off x="10443061" y="1450730"/>
          <a:ext cx="893887"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solidFill>
                <a:schemeClr val="bg1"/>
              </a:solidFill>
              <a:latin typeface="Segoe UI Semibold" panose="020B0702040204020203" pitchFamily="34" charset="0"/>
              <a:cs typeface="Segoe UI Semibold" panose="020B0702040204020203" pitchFamily="34" charset="0"/>
            </a:rPr>
            <a:t>Top</a:t>
          </a:r>
          <a:r>
            <a:rPr lang="en-US" sz="900" baseline="0">
              <a:solidFill>
                <a:schemeClr val="bg1"/>
              </a:solidFill>
              <a:latin typeface="Segoe UI Semibold" panose="020B0702040204020203" pitchFamily="34" charset="0"/>
              <a:cs typeface="Segoe UI Semibold" panose="020B0702040204020203" pitchFamily="34" charset="0"/>
            </a:rPr>
            <a:t> Carrier</a:t>
          </a:r>
          <a:endParaRPr lang="en-US" sz="9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13</xdr:col>
      <xdr:colOff>285750</xdr:colOff>
      <xdr:row>9</xdr:row>
      <xdr:rowOff>161925</xdr:rowOff>
    </xdr:from>
    <xdr:to>
      <xdr:col>13</xdr:col>
      <xdr:colOff>514350</xdr:colOff>
      <xdr:row>11</xdr:row>
      <xdr:rowOff>9525</xdr:rowOff>
    </xdr:to>
    <xdr:pic>
      <xdr:nvPicPr>
        <xdr:cNvPr id="60" name="Graphic 59">
          <a:extLst>
            <a:ext uri="{FF2B5EF4-FFF2-40B4-BE49-F238E27FC236}">
              <a16:creationId xmlns:a16="http://schemas.microsoft.com/office/drawing/2014/main" id="{E13957CB-82E0-4C3D-96FB-8D087878982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820150" y="1495425"/>
          <a:ext cx="228600" cy="228600"/>
        </a:xfrm>
        <a:prstGeom prst="rect">
          <a:avLst/>
        </a:prstGeom>
      </xdr:spPr>
    </xdr:pic>
    <xdr:clientData/>
  </xdr:twoCellAnchor>
  <xdr:twoCellAnchor editAs="oneCell">
    <xdr:from>
      <xdr:col>11</xdr:col>
      <xdr:colOff>228600</xdr:colOff>
      <xdr:row>9</xdr:row>
      <xdr:rowOff>152400</xdr:rowOff>
    </xdr:from>
    <xdr:to>
      <xdr:col>11</xdr:col>
      <xdr:colOff>457200</xdr:colOff>
      <xdr:row>11</xdr:row>
      <xdr:rowOff>0</xdr:rowOff>
    </xdr:to>
    <xdr:pic>
      <xdr:nvPicPr>
        <xdr:cNvPr id="64" name="Graphic 63">
          <a:extLst>
            <a:ext uri="{FF2B5EF4-FFF2-40B4-BE49-F238E27FC236}">
              <a16:creationId xmlns:a16="http://schemas.microsoft.com/office/drawing/2014/main" id="{C83C538F-4223-48DD-8C1E-B6FF25761F8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7543800" y="1485900"/>
          <a:ext cx="228600" cy="228600"/>
        </a:xfrm>
        <a:prstGeom prst="rect">
          <a:avLst/>
        </a:prstGeom>
      </xdr:spPr>
    </xdr:pic>
    <xdr:clientData/>
  </xdr:twoCellAnchor>
  <xdr:twoCellAnchor editAs="oneCell">
    <xdr:from>
      <xdr:col>7</xdr:col>
      <xdr:colOff>28575</xdr:colOff>
      <xdr:row>9</xdr:row>
      <xdr:rowOff>180975</xdr:rowOff>
    </xdr:from>
    <xdr:to>
      <xdr:col>7</xdr:col>
      <xdr:colOff>257175</xdr:colOff>
      <xdr:row>11</xdr:row>
      <xdr:rowOff>28575</xdr:rowOff>
    </xdr:to>
    <xdr:pic>
      <xdr:nvPicPr>
        <xdr:cNvPr id="66" name="Graphic 65">
          <a:extLst>
            <a:ext uri="{FF2B5EF4-FFF2-40B4-BE49-F238E27FC236}">
              <a16:creationId xmlns:a16="http://schemas.microsoft.com/office/drawing/2014/main" id="{066466B1-C42C-45B6-B418-EAA11C3E42E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4905375" y="1514475"/>
          <a:ext cx="228600" cy="228600"/>
        </a:xfrm>
        <a:prstGeom prst="rect">
          <a:avLst/>
        </a:prstGeom>
      </xdr:spPr>
    </xdr:pic>
    <xdr:clientData/>
  </xdr:twoCellAnchor>
  <xdr:twoCellAnchor editAs="oneCell">
    <xdr:from>
      <xdr:col>4</xdr:col>
      <xdr:colOff>171450</xdr:colOff>
      <xdr:row>9</xdr:row>
      <xdr:rowOff>110652</xdr:rowOff>
    </xdr:from>
    <xdr:to>
      <xdr:col>4</xdr:col>
      <xdr:colOff>478366</xdr:colOff>
      <xdr:row>11</xdr:row>
      <xdr:rowOff>36568</xdr:rowOff>
    </xdr:to>
    <xdr:pic>
      <xdr:nvPicPr>
        <xdr:cNvPr id="67" name="Graphic 66">
          <a:extLst>
            <a:ext uri="{FF2B5EF4-FFF2-40B4-BE49-F238E27FC236}">
              <a16:creationId xmlns:a16="http://schemas.microsoft.com/office/drawing/2014/main" id="{AC8BDA3E-FE3C-46B7-AC1E-D4F08BC8CDF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2603365" y="1825152"/>
          <a:ext cx="306916" cy="306916"/>
        </a:xfrm>
        <a:prstGeom prst="rect">
          <a:avLst/>
        </a:prstGeom>
      </xdr:spPr>
    </xdr:pic>
    <xdr:clientData/>
  </xdr:twoCellAnchor>
  <xdr:twoCellAnchor>
    <xdr:from>
      <xdr:col>1</xdr:col>
      <xdr:colOff>266702</xdr:colOff>
      <xdr:row>34</xdr:row>
      <xdr:rowOff>180974</xdr:rowOff>
    </xdr:from>
    <xdr:to>
      <xdr:col>2</xdr:col>
      <xdr:colOff>438152</xdr:colOff>
      <xdr:row>36</xdr:row>
      <xdr:rowOff>66675</xdr:rowOff>
    </xdr:to>
    <xdr:sp macro="" textlink="">
      <xdr:nvSpPr>
        <xdr:cNvPr id="70" name="TextBox 69">
          <a:extLst>
            <a:ext uri="{FF2B5EF4-FFF2-40B4-BE49-F238E27FC236}">
              <a16:creationId xmlns:a16="http://schemas.microsoft.com/office/drawing/2014/main" id="{0254B528-B9EB-49C1-8C75-06791D9EEB47}"/>
            </a:ext>
          </a:extLst>
        </xdr:cNvPr>
        <xdr:cNvSpPr txBox="1"/>
      </xdr:nvSpPr>
      <xdr:spPr>
        <a:xfrm>
          <a:off x="266702" y="6276974"/>
          <a:ext cx="7810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000" b="0">
            <a:solidFill>
              <a:schemeClr val="bg1"/>
            </a:solidFill>
            <a:latin typeface="Dosis ExtraLight" pitchFamily="2" charset="0"/>
            <a:cs typeface="Segoe UI Semibold" panose="020B0702040204020203" pitchFamily="34" charset="0"/>
          </a:endParaRPr>
        </a:p>
      </xdr:txBody>
    </xdr:sp>
    <xdr:clientData/>
  </xdr:twoCellAnchor>
  <xdr:twoCellAnchor>
    <xdr:from>
      <xdr:col>1</xdr:col>
      <xdr:colOff>295690</xdr:colOff>
      <xdr:row>33</xdr:row>
      <xdr:rowOff>16565</xdr:rowOff>
    </xdr:from>
    <xdr:to>
      <xdr:col>3</xdr:col>
      <xdr:colOff>352840</xdr:colOff>
      <xdr:row>34</xdr:row>
      <xdr:rowOff>83240</xdr:rowOff>
    </xdr:to>
    <xdr:sp macro="" textlink="">
      <xdr:nvSpPr>
        <xdr:cNvPr id="71" name="TextBox 70">
          <a:extLst>
            <a:ext uri="{FF2B5EF4-FFF2-40B4-BE49-F238E27FC236}">
              <a16:creationId xmlns:a16="http://schemas.microsoft.com/office/drawing/2014/main" id="{74777E5E-5123-44AE-9CE4-A0522F4B23B4}"/>
            </a:ext>
          </a:extLst>
        </xdr:cNvPr>
        <xdr:cNvSpPr txBox="1"/>
      </xdr:nvSpPr>
      <xdr:spPr>
        <a:xfrm>
          <a:off x="908603" y="6303065"/>
          <a:ext cx="12829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1"/>
              </a:solidFill>
              <a:latin typeface="Segoe UI Semibold" panose="020B0702040204020203" pitchFamily="34" charset="0"/>
              <a:cs typeface="Segoe UI Semibold" panose="020B0702040204020203" pitchFamily="34" charset="0"/>
            </a:rPr>
            <a:t>Md</a:t>
          </a:r>
          <a:r>
            <a:rPr lang="en-US" sz="900" baseline="0">
              <a:solidFill>
                <a:schemeClr val="bg1"/>
              </a:solidFill>
              <a:latin typeface="Segoe UI Semibold" panose="020B0702040204020203" pitchFamily="34" charset="0"/>
              <a:cs typeface="Segoe UI Semibold" panose="020B0702040204020203" pitchFamily="34" charset="0"/>
            </a:rPr>
            <a:t> Alvee Islam</a:t>
          </a:r>
          <a:endParaRPr lang="en-US" sz="8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250963</xdr:colOff>
      <xdr:row>6</xdr:row>
      <xdr:rowOff>119268</xdr:rowOff>
    </xdr:from>
    <xdr:to>
      <xdr:col>4</xdr:col>
      <xdr:colOff>19050</xdr:colOff>
      <xdr:row>15</xdr:row>
      <xdr:rowOff>133351</xdr:rowOff>
    </xdr:to>
    <xdr:pic>
      <xdr:nvPicPr>
        <xdr:cNvPr id="65" name="Picture 64">
          <a:extLst>
            <a:ext uri="{FF2B5EF4-FFF2-40B4-BE49-F238E27FC236}">
              <a16:creationId xmlns:a16="http://schemas.microsoft.com/office/drawing/2014/main" id="{A6A4AB7D-2317-EDDF-3536-95891237FA91}"/>
            </a:ext>
          </a:extLst>
        </xdr:cNvPr>
        <xdr:cNvPicPr>
          <a:picLocks noChangeAspect="1"/>
        </xdr:cNvPicPr>
      </xdr:nvPicPr>
      <xdr:blipFill rotWithShape="1">
        <a:blip xmlns:r="http://schemas.openxmlformats.org/officeDocument/2006/relationships" r:embed="rId15">
          <a:extLst>
            <a:ext uri="{BEBA8EAE-BF5A-486C-A8C5-ECC9F3942E4B}">
              <a14:imgProps xmlns:a14="http://schemas.microsoft.com/office/drawing/2010/main">
                <a14:imgLayer r:embed="rId16">
                  <a14:imgEffect>
                    <a14:artisticMosiaicBubbles/>
                  </a14:imgEffect>
                </a14:imgLayer>
              </a14:imgProps>
            </a:ext>
            <a:ext uri="{28A0092B-C50C-407E-A947-70E740481C1C}">
              <a14:useLocalDpi xmlns:a14="http://schemas.microsoft.com/office/drawing/2010/main" val="0"/>
            </a:ext>
          </a:extLst>
        </a:blip>
        <a:srcRect l="24018" t="2123" r="23263" b="-2123"/>
        <a:stretch/>
      </xdr:blipFill>
      <xdr:spPr>
        <a:xfrm>
          <a:off x="863876" y="1262268"/>
          <a:ext cx="1606826" cy="1728583"/>
        </a:xfrm>
        <a:prstGeom prst="rect">
          <a:avLst/>
        </a:prstGeom>
      </xdr:spPr>
    </xdr:pic>
    <xdr:clientData/>
  </xdr:twoCellAnchor>
  <xdr:twoCellAnchor>
    <xdr:from>
      <xdr:col>1</xdr:col>
      <xdr:colOff>286164</xdr:colOff>
      <xdr:row>34</xdr:row>
      <xdr:rowOff>19050</xdr:rowOff>
    </xdr:from>
    <xdr:to>
      <xdr:col>3</xdr:col>
      <xdr:colOff>581439</xdr:colOff>
      <xdr:row>35</xdr:row>
      <xdr:rowOff>85725</xdr:rowOff>
    </xdr:to>
    <xdr:sp macro="" textlink="">
      <xdr:nvSpPr>
        <xdr:cNvPr id="68" name="TextBox 67">
          <a:extLst>
            <a:ext uri="{FF2B5EF4-FFF2-40B4-BE49-F238E27FC236}">
              <a16:creationId xmlns:a16="http://schemas.microsoft.com/office/drawing/2014/main" id="{B2EA33B4-DD9F-4122-A70B-27B7A62AD641}"/>
            </a:ext>
          </a:extLst>
        </xdr:cNvPr>
        <xdr:cNvSpPr txBox="1"/>
      </xdr:nvSpPr>
      <xdr:spPr>
        <a:xfrm>
          <a:off x="899077" y="6496050"/>
          <a:ext cx="1521101"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aseline="0">
              <a:solidFill>
                <a:schemeClr val="bg1"/>
              </a:solidFill>
              <a:latin typeface="Segoe UI Semibold" panose="020B0702040204020203" pitchFamily="34" charset="0"/>
              <a:cs typeface="Segoe UI Semibold" panose="020B0702040204020203" pitchFamily="34" charset="0"/>
            </a:rPr>
            <a:t>alveeislam7@gmail.com</a:t>
          </a:r>
          <a:endParaRPr lang="en-US" sz="800">
            <a:solidFill>
              <a:schemeClr val="bg1"/>
            </a:solidFill>
            <a:latin typeface="Segoe UI Semibold" panose="020B0702040204020203" pitchFamily="34" charset="0"/>
            <a:cs typeface="Segoe UI Semibold" panose="020B0702040204020203" pitchFamily="34" charset="0"/>
          </a:endParaRPr>
        </a:p>
      </xdr:txBody>
    </xdr:sp>
    <xdr:clientData/>
  </xdr:twoCellAnchor>
  <xdr:twoCellAnchor>
    <xdr:from>
      <xdr:col>1</xdr:col>
      <xdr:colOff>350354</xdr:colOff>
      <xdr:row>17</xdr:row>
      <xdr:rowOff>57978</xdr:rowOff>
    </xdr:from>
    <xdr:to>
      <xdr:col>3</xdr:col>
      <xdr:colOff>407504</xdr:colOff>
      <xdr:row>18</xdr:row>
      <xdr:rowOff>124653</xdr:rowOff>
    </xdr:to>
    <xdr:sp macro="" textlink="">
      <xdr:nvSpPr>
        <xdr:cNvPr id="72" name="TextBox 71">
          <a:extLst>
            <a:ext uri="{FF2B5EF4-FFF2-40B4-BE49-F238E27FC236}">
              <a16:creationId xmlns:a16="http://schemas.microsoft.com/office/drawing/2014/main" id="{0D5B8FE8-FB6C-4650-8F7D-7B7B5687FE53}"/>
            </a:ext>
          </a:extLst>
        </xdr:cNvPr>
        <xdr:cNvSpPr txBox="1"/>
      </xdr:nvSpPr>
      <xdr:spPr>
        <a:xfrm>
          <a:off x="963267" y="3296478"/>
          <a:ext cx="128297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i="0">
              <a:solidFill>
                <a:schemeClr val="bg1"/>
              </a:solidFill>
              <a:effectLst/>
              <a:latin typeface="+mn-lt"/>
              <a:ea typeface="+mn-ea"/>
              <a:cs typeface="+mn-cs"/>
            </a:rPr>
            <a:t>Select Carrier</a:t>
          </a:r>
          <a:endParaRPr lang="en-US" sz="1100" b="0" i="0">
            <a:solidFill>
              <a:schemeClr val="bg1"/>
            </a:solidFill>
            <a:effectLst/>
            <a:latin typeface="+mn-lt"/>
            <a:ea typeface="+mn-ea"/>
            <a:cs typeface="+mn-cs"/>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ee Meerza" refreshedDate="46209.782066087966" createdVersion="5" refreshedVersion="8" minRefreshableVersion="3" recordCount="0" supportSubquery="1" supportAdvancedDrill="1" xr:uid="{4BA2DE4B-ED38-4314-A5FD-1980F2816944}">
  <cacheSource type="external" connectionId="4"/>
  <cacheFields count="3">
    <cacheField name="[logistics_dataset].[Carrier].[Carrier]" caption="Carrier" numFmtId="0" hierarchy="11" level="1">
      <sharedItems count="5">
        <s v="Amazon"/>
        <s v="DHL"/>
        <s v="LaserShip"/>
        <s v="UPS"/>
        <s v="USPS"/>
      </sharedItems>
    </cacheField>
    <cacheField name="[Measures].[Avg Cost]" caption="Avg Cost" numFmtId="0" hierarchy="21" level="32767"/>
    <cacheField name="[Calendar].[Date].[Date]" caption="Date" numFmtId="0"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KPI Measures].[Column1]" caption="Column1" attribute="1" defaultMemberUniqueName="[KPI Measures].[Column1].[All]" allUniqueName="[KPI Measures].[Column1].[All]" dimensionUniqueName="[KPI Measures]" displayFolder="" count="2" memberValueDatatype="130" unbalanced="0"/>
    <cacheHierarchy uniqueName="[logistics_dataset].[Shipment_ID]" caption="Shipment_ID" attribute="1" defaultMemberUniqueName="[logistics_dataset].[Shipment_ID].[All]" allUniqueName="[logistics_dataset].[Shipment_ID].[All]" dimensionUniqueName="[logistics_dataset]" displayFolder="" count="2" memberValueDatatype="130" unbalanced="0"/>
    <cacheHierarchy uniqueName="[logistics_dataset].[Destination]" caption="Destination" attribute="1" defaultMemberUniqueName="[logistics_dataset].[Destination].[All]" allUniqueName="[logistics_dataset].[Destination].[All]" dimensionUniqueName="[logistics_dataset]" displayFolder="" count="2"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2" memberValueDatatype="7" unbalanced="0"/>
    <cacheHierarchy uniqueName="[logistics_dataset].[Weight_kg]" caption="Weight_kg" attribute="1" defaultMemberUniqueName="[logistics_dataset].[Weight_kg].[All]" allUniqueName="[logistics_dataset].[Weight_kg].[All]" dimensionUniqueName="[logistics_dataset]" displayFolder="" count="2" memberValueDatatype="5" unbalanced="0"/>
    <cacheHierarchy uniqueName="[logistics_dataset].[Cost]" caption="Cost" attribute="1" defaultMemberUniqueName="[logistics_dataset].[Cost].[All]" allUniqueName="[logistics_dataset].[Cost].[All]" dimensionUniqueName="[logistics_dataset]" displayFolder="" count="2" memberValueDatatype="5" unbalanced="0"/>
    <cacheHierarchy uniqueName="[logistics_dataset].[Status]" caption="Status" attribute="1" defaultMemberUniqueName="[logistics_dataset].[Status].[All]" allUniqueName="[logistics_dataset].[Status].[All]" dimensionUniqueName="[logistics_dataset]" displayFolder="" count="2"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2" memberValueDatatype="20" unbalanced="0"/>
    <cacheHierarchy uniqueName="[logistics_dataset].[Transit_Days]" caption="Transit_Days" attribute="1" defaultMemberUniqueName="[logistics_dataset].[Transit_Days].[All]" allUniqueName="[logistics_dataset].[Transit_Days].[All]" dimensionUniqueName="[logistics_dataset]" displayFolder="" count="2"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oneField="1">
      <fieldsUsage count="1">
        <fieldUsage x="1"/>
      </fieldsUsage>
    </cacheHierarchy>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ee Meerza" refreshedDate="46209.782066666667" createdVersion="5" refreshedVersion="8" minRefreshableVersion="3" recordCount="0" supportSubquery="1" supportAdvancedDrill="1" xr:uid="{725B3B1D-667F-4CE0-BB15-E65D79DF70C6}">
  <cacheSource type="external" connectionId="4"/>
  <cacheFields count="7">
    <cacheField name="[Measures].[Total Shipment]" caption="Total Shipment" numFmtId="0" hierarchy="18" level="32767"/>
    <cacheField name="[Measures].[Delivery Rate]" caption="Delivery Rate" numFmtId="0" hierarchy="20" level="32767"/>
    <cacheField name="[Measures].[Avg Cost]" caption="Avg Cost" numFmtId="0" hierarchy="21" level="32767"/>
    <cacheField name="[Measures].[Avg Transit Day(s)]" caption="Avg Transit Day(s)" numFmtId="0" hierarchy="22" level="32767"/>
    <cacheField name="[Measures].[Avg Miles Traveled]" caption="Avg Miles Traveled" numFmtId="0" hierarchy="23" level="32767"/>
    <cacheField name="[logistics_dataset].[Carrier].[Carrier]" caption="Carrier" numFmtId="0" hierarchy="11" level="1">
      <sharedItems containsSemiMixedTypes="0" containsNonDate="0" containsString="0"/>
    </cacheField>
    <cacheField name="[Calendar].[Date].[Date]" caption="Date" numFmtId="0"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2" memberValueDatatype="7" unbalanced="0">
      <fieldsUsage count="2">
        <fieldUsage x="-1"/>
        <fieldUsage x="6"/>
      </fieldsUsage>
    </cacheHierarchy>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5"/>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oneField="1">
      <fieldsUsage count="1">
        <fieldUsage x="0"/>
      </fieldsUsage>
    </cacheHierarchy>
    <cacheHierarchy uniqueName="[Measures].[Delivery Count]" caption="Delivery Count" measure="1" displayFolder="" measureGroup="KPI Measures" count="0"/>
    <cacheHierarchy uniqueName="[Measures].[Delivery Rate]" caption="Delivery Rate" measure="1" displayFolder="" measureGroup="KPI Measures" count="0" oneField="1">
      <fieldsUsage count="1">
        <fieldUsage x="1"/>
      </fieldsUsage>
    </cacheHierarchy>
    <cacheHierarchy uniqueName="[Measures].[Avg Cost]" caption="Avg Cost" measure="1" displayFolder="" measureGroup="KPI Measures" count="0" oneField="1">
      <fieldsUsage count="1">
        <fieldUsage x="2"/>
      </fieldsUsage>
    </cacheHierarchy>
    <cacheHierarchy uniqueName="[Measures].[Avg Transit Day(s)]" caption="Avg Transit Day(s)" measure="1" displayFolder="" measureGroup="KPI Measures" count="0" oneField="1">
      <fieldsUsage count="1">
        <fieldUsage x="3"/>
      </fieldsUsage>
    </cacheHierarchy>
    <cacheHierarchy uniqueName="[Measures].[Avg Miles Traveled]" caption="Avg Miles Traveled" measure="1" displayFolder="" measureGroup="KPI Measures" count="0" oneField="1">
      <fieldsUsage count="1">
        <fieldUsage x="4"/>
      </fieldsUsage>
    </cacheHierarchy>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ee Meerza" refreshedDate="46209.78206701389" createdVersion="5" refreshedVersion="8" minRefreshableVersion="3" recordCount="0" supportSubquery="1" supportAdvancedDrill="1" xr:uid="{BB648E0E-9635-43D9-9C21-033B95058D41}">
  <cacheSource type="external" connectionId="4"/>
  <cacheFields count="4">
    <cacheField name="[Measures].[Total Shipment]" caption="Total Shipment" numFmtId="0" hierarchy="18" level="32767"/>
    <cacheField name="[Measures].[Delivery Count]" caption="Delivery Count" numFmtId="0" hierarchy="19" level="32767"/>
    <cacheField name="[Calendar].[Month].[Month]" caption="Month" numFmtId="0" hierarchy="4" level="1">
      <sharedItems count="12">
        <s v="Jan"/>
        <s v="Feb"/>
        <s v="Mar"/>
        <s v="Apr"/>
        <s v="May"/>
        <s v="Jun"/>
        <s v="Jul"/>
        <s v="Aug"/>
        <s v="Sep"/>
        <s v="Oct"/>
        <s v="Nov"/>
        <s v="Dec"/>
      </sharedItems>
    </cacheField>
    <cacheField name="[logistics_dataset].[Carrier].[Carrier]" caption="Carrier" numFmtId="0" hierarchy="11"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3"/>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oneField="1">
      <fieldsUsage count="1">
        <fieldUsage x="0"/>
      </fieldsUsage>
    </cacheHierarchy>
    <cacheHierarchy uniqueName="[Measures].[Delivery Count]" caption="Delivery Count" measure="1" displayFolder="" measureGroup="KPI Measures" count="0" oneField="1">
      <fieldsUsage count="1">
        <fieldUsage x="1"/>
      </fieldsUsage>
    </cacheHierarchy>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ee Meerza" refreshedDate="46209.782067361113" createdVersion="5" refreshedVersion="8" minRefreshableVersion="3" recordCount="0" supportSubquery="1" supportAdvancedDrill="1" xr:uid="{1734E3AC-1065-4294-A3D8-76F4D98763AD}">
  <cacheSource type="external" connectionId="4"/>
  <cacheFields count="3">
    <cacheField name="[logistics_dataset].[Carrier].[Carrier]" caption="Carrier" numFmtId="0" hierarchy="11" level="1">
      <sharedItems count="7">
        <s v="Amazon"/>
        <s v="DHL"/>
        <s v="LaserShip"/>
        <s v="UPS"/>
        <s v="USPS"/>
        <s v="FedEx" u="1"/>
        <s v="OnTrac" u="1"/>
      </sharedItems>
    </cacheField>
    <cacheField name="[Measures].[Delivery Rate]" caption="Delivery Rate" numFmtId="0" hierarchy="20" level="32767"/>
    <cacheField name="[Calendar].[Date].[Date]" caption="Date" numFmtId="0"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KPI Measures].[Column1]" caption="Column1" attribute="1" defaultMemberUniqueName="[KPI Measures].[Column1].[All]" allUniqueName="[KPI Measures].[Column1].[All]" dimensionUniqueName="[KPI Measures]" displayFolder="" count="2" memberValueDatatype="130" unbalanced="0"/>
    <cacheHierarchy uniqueName="[logistics_dataset].[Shipment_ID]" caption="Shipment_ID" attribute="1" defaultMemberUniqueName="[logistics_dataset].[Shipment_ID].[All]" allUniqueName="[logistics_dataset].[Shipment_ID].[All]" dimensionUniqueName="[logistics_dataset]" displayFolder="" count="2" memberValueDatatype="130" unbalanced="0"/>
    <cacheHierarchy uniqueName="[logistics_dataset].[Destination]" caption="Destination" attribute="1" defaultMemberUniqueName="[logistics_dataset].[Destination].[All]" allUniqueName="[logistics_dataset].[Destination].[All]" dimensionUniqueName="[logistics_dataset]" displayFolder="" count="2"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2" memberValueDatatype="7" unbalanced="0"/>
    <cacheHierarchy uniqueName="[logistics_dataset].[Weight_kg]" caption="Weight_kg" attribute="1" defaultMemberUniqueName="[logistics_dataset].[Weight_kg].[All]" allUniqueName="[logistics_dataset].[Weight_kg].[All]" dimensionUniqueName="[logistics_dataset]" displayFolder="" count="2" memberValueDatatype="5" unbalanced="0"/>
    <cacheHierarchy uniqueName="[logistics_dataset].[Cost]" caption="Cost" attribute="1" defaultMemberUniqueName="[logistics_dataset].[Cost].[All]" allUniqueName="[logistics_dataset].[Cost].[All]" dimensionUniqueName="[logistics_dataset]" displayFolder="" count="2" memberValueDatatype="5" unbalanced="0"/>
    <cacheHierarchy uniqueName="[logistics_dataset].[Status]" caption="Status" attribute="1" defaultMemberUniqueName="[logistics_dataset].[Status].[All]" allUniqueName="[logistics_dataset].[Status].[All]" dimensionUniqueName="[logistics_dataset]" displayFolder="" count="2"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2" memberValueDatatype="20" unbalanced="0"/>
    <cacheHierarchy uniqueName="[logistics_dataset].[Transit_Days]" caption="Transit_Days" attribute="1" defaultMemberUniqueName="[logistics_dataset].[Transit_Days].[All]" allUniqueName="[logistics_dataset].[Transit_Days].[All]" dimensionUniqueName="[logistics_dataset]" displayFolder="" count="2"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oneField="1">
      <fieldsUsage count="1">
        <fieldUsage x="1"/>
      </fieldsUsage>
    </cacheHierarchy>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ee Meerza" refreshedDate="46209.782067708336" createdVersion="5" refreshedVersion="8" minRefreshableVersion="3" recordCount="0" supportSubquery="1" supportAdvancedDrill="1" xr:uid="{895B1D1C-E3E9-4617-AD9A-4EE2D45AE2D9}">
  <cacheSource type="external" connectionId="4"/>
  <cacheFields count="3">
    <cacheField name="[logistics_dataset].[Carrier].[Carrier]" caption="Carrier" numFmtId="0" hierarchy="11" level="1">
      <sharedItems count="5">
        <s v="Amazon"/>
        <s v="DHL"/>
        <s v="LaserShip"/>
        <s v="UPS"/>
        <s v="USPS"/>
      </sharedItems>
    </cacheField>
    <cacheField name="[Measures].[Avg Weight(kg)]" caption="Avg Weight(kg)" numFmtId="0" hierarchy="24" level="32767"/>
    <cacheField name="[Calendar].[Date].[Date]" caption="Date" numFmtId="0"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oneField="1">
      <fieldsUsage count="1">
        <fieldUsage x="1"/>
      </fieldsUsage>
    </cacheHierarchy>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ee Meerza" refreshedDate="46209.782068055552" createdVersion="5" refreshedVersion="8" minRefreshableVersion="3" recordCount="0" supportSubquery="1" supportAdvancedDrill="1" xr:uid="{AF71F498-E11E-4FB8-96D8-FD86A635812F}">
  <cacheSource type="external" connectionId="4"/>
  <cacheFields count="3">
    <cacheField name="[logistics_dataset].[Carrier].[Carrier]" caption="Carrier" numFmtId="0" hierarchy="11" level="1">
      <sharedItems count="5">
        <s v="Amazon"/>
        <s v="DHL"/>
        <s v="LaserShip"/>
        <s v="UPS"/>
        <s v="USPS"/>
      </sharedItems>
    </cacheField>
    <cacheField name="[Measures].[Avg Transit Day(s)]" caption="Avg Transit Day(s)" numFmtId="0" hierarchy="22" level="32767"/>
    <cacheField name="[Calendar].[Date].[Date]" caption="Date" numFmtId="0"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2" memberValueDatatype="7" unbalanced="0">
      <fieldsUsage count="2">
        <fieldUsage x="-1"/>
        <fieldUsage x="2"/>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0"/>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oneField="1">
      <fieldsUsage count="1">
        <fieldUsage x="1"/>
      </fieldsUsage>
    </cacheHierarchy>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vee Meerza" refreshedDate="46209.782068518522" createdVersion="5" refreshedVersion="8" minRefreshableVersion="3" recordCount="0" supportSubquery="1" supportAdvancedDrill="1" xr:uid="{FDE51547-D39D-4B06-A5D3-BD9B93443248}">
  <cacheSource type="external" connectionId="4"/>
  <cacheFields count="4">
    <cacheField name="[logistics_dataset].[Destination].[Destination]" caption="Destination" numFmtId="0" hierarchy="10" level="1">
      <sharedItems count="7">
        <s v="Atlanta"/>
        <s v="Chicago"/>
        <s v="Denver"/>
        <s v="Houston"/>
        <s v="Miami"/>
        <s v="Minneapolis"/>
        <s v="Portland"/>
      </sharedItems>
    </cacheField>
    <cacheField name="[Measures].[Delivery Rate]" caption="Delivery Rate" numFmtId="0" hierarchy="20" level="32767"/>
    <cacheField name="[logistics_dataset].[Carrier].[Carrier]" caption="Carrier" numFmtId="0" hierarchy="11" level="1">
      <sharedItems containsSemiMixedTypes="0" containsNonDate="0" containsString="0"/>
    </cacheField>
    <cacheField name="[Calendar].[Date].[Date]" caption="Date" numFmtId="0" level="1">
      <sharedItems containsSemiMixedTypes="0" containsNonDate="0" containsString="0"/>
    </cacheField>
  </cacheFields>
  <cacheHierarchies count="29">
    <cacheHierarchy uniqueName="[Calendar].[Date]" caption="Date" attribute="1" time="1" keyAttribute="1" defaultMemberUniqueName="[Calendar].[Date].[All]" allUniqueName="[Calendar].[Date].[All]" dimensionUniqueName="[Calendar]" displayFolder="" count="2" memberValueDatatype="7" unbalanced="0">
      <fieldsUsage count="2">
        <fieldUsage x="-1"/>
        <fieldUsage x="3"/>
      </fieldsUsage>
    </cacheHierarchy>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2" memberValueDatatype="130" unbalanced="0">
      <fieldsUsage count="2">
        <fieldUsage x="-1"/>
        <fieldUsage x="0"/>
      </fieldsUsage>
    </cacheHierarchy>
    <cacheHierarchy uniqueName="[logistics_dataset].[Carrier]" caption="Carrier" attribute="1" defaultMemberUniqueName="[logistics_dataset].[Carrier].[All]" allUniqueName="[logistics_dataset].[Carrier].[All]" dimensionUniqueName="[logistics_dataset]" displayFolder="" count="2" memberValueDatatype="130" unbalanced="0">
      <fieldsUsage count="2">
        <fieldUsage x="-1"/>
        <fieldUsage x="2"/>
      </fieldsUsage>
    </cacheHierarchy>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oneField="1">
      <fieldsUsage count="1">
        <fieldUsage x="1"/>
      </fieldsUsage>
    </cacheHierarchy>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Calendar" uniqueName="[Calendar]" caption="Calendar"/>
    <dimension name="KPI Measures" uniqueName="[KPI Measures]" caption="KPI Measures"/>
    <dimension name="logistics_dataset" uniqueName="[logistics_dataset]" caption="logistics_dataset"/>
    <dimension measure="1" name="Measures" uniqueName="[Measures]" caption="Measures"/>
  </dimensions>
  <measureGroups count="3">
    <measureGroup name="Calendar" caption="Calendar"/>
    <measureGroup name="KPI Measures" caption="KPI Measures"/>
    <measureGroup name="logistics_dataset" caption="logistics_dataset"/>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6088.586270370368" createdVersion="3" refreshedVersion="7" minRefreshableVersion="3" recordCount="0" supportSubquery="1" supportAdvancedDrill="1" xr:uid="{941A7055-0A23-4075-82F5-10BDAC9A0D80}">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2" memberValueDatatype="130" unbalanced="0"/>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0841823"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J" refreshedDate="46088.588960300927" createdVersion="3" refreshedVersion="7" minRefreshableVersion="3" recordCount="0" supportSubquery="1" supportAdvancedDrill="1" xr:uid="{99BBC148-AB91-4888-B6DC-C2C9289A1644}">
  <cacheSource type="external" connectionId="4">
    <extLst>
      <ext xmlns:x14="http://schemas.microsoft.com/office/spreadsheetml/2009/9/main" uri="{F057638F-6D5F-4e77-A914-E7F072B9BCA8}">
        <x14:sourceConnection name="ThisWorkbookDataModel"/>
      </ext>
    </extLst>
  </cacheSource>
  <cacheFields count="0"/>
  <cacheHierarchies count="2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KPI Measures].[Column1]" caption="Column1" attribute="1" defaultMemberUniqueName="[KPI Measures].[Column1].[All]" allUniqueName="[KPI Measures].[Column1].[All]" dimensionUniqueName="[KPI Measures]" displayFolder="" count="0" memberValueDatatype="130" unbalanced="0"/>
    <cacheHierarchy uniqueName="[logistics_dataset].[Shipment_ID]" caption="Shipment_ID" attribute="1" defaultMemberUniqueName="[logistics_dataset].[Shipment_ID].[All]" allUniqueName="[logistics_dataset].[Shipment_ID].[All]" dimensionUniqueName="[logistics_dataset]" displayFolder="" count="0" memberValueDatatype="130" unbalanced="0"/>
    <cacheHierarchy uniqueName="[logistics_dataset].[Destination]" caption="Destination" attribute="1" defaultMemberUniqueName="[logistics_dataset].[Destination].[All]" allUniqueName="[logistics_dataset].[Destination].[All]" dimensionUniqueName="[logistics_dataset]" displayFolder="" count="0" memberValueDatatype="130" unbalanced="0"/>
    <cacheHierarchy uniqueName="[logistics_dataset].[Carrier]" caption="Carrier" attribute="1" defaultMemberUniqueName="[logistics_dataset].[Carrier].[All]" allUniqueName="[logistics_dataset].[Carrier].[All]" dimensionUniqueName="[logistics_dataset]" displayFolder="" count="0" memberValueDatatype="130" unbalanced="0"/>
    <cacheHierarchy uniqueName="[logistics_dataset].[Shipment_Date]" caption="Shipment_Date" attribute="1" time="1" defaultMemberUniqueName="[logistics_dataset].[Shipment_Date].[All]" allUniqueName="[logistics_dataset].[Shipment_Date].[All]" dimensionUniqueName="[logistics_dataset]" displayFolder="" count="0" memberValueDatatype="7" unbalanced="0"/>
    <cacheHierarchy uniqueName="[logistics_dataset].[Weight_kg]" caption="Weight_kg" attribute="1" defaultMemberUniqueName="[logistics_dataset].[Weight_kg].[All]" allUniqueName="[logistics_dataset].[Weight_kg].[All]" dimensionUniqueName="[logistics_dataset]" displayFolder="" count="0" memberValueDatatype="5" unbalanced="0"/>
    <cacheHierarchy uniqueName="[logistics_dataset].[Cost]" caption="Cost" attribute="1" defaultMemberUniqueName="[logistics_dataset].[Cost].[All]" allUniqueName="[logistics_dataset].[Cost].[All]" dimensionUniqueName="[logistics_dataset]" displayFolder="" count="0" memberValueDatatype="5" unbalanced="0"/>
    <cacheHierarchy uniqueName="[logistics_dataset].[Status]" caption="Status" attribute="1" defaultMemberUniqueName="[logistics_dataset].[Status].[All]" allUniqueName="[logistics_dataset].[Status].[All]" dimensionUniqueName="[logistics_dataset]" displayFolder="" count="0" memberValueDatatype="130" unbalanced="0"/>
    <cacheHierarchy uniqueName="[logistics_dataset].[Distance_miles]" caption="Distance_miles" attribute="1" defaultMemberUniqueName="[logistics_dataset].[Distance_miles].[All]" allUniqueName="[logistics_dataset].[Distance_miles].[All]" dimensionUniqueName="[logistics_dataset]" displayFolder="" count="0" memberValueDatatype="20" unbalanced="0"/>
    <cacheHierarchy uniqueName="[logistics_dataset].[Transit_Days]" caption="Transit_Days" attribute="1" defaultMemberUniqueName="[logistics_dataset].[Transit_Days].[All]" allUniqueName="[logistics_dataset].[Transit_Days].[All]" dimensionUniqueName="[logistics_dataset]" displayFolder="" count="0" memberValueDatatype="20" unbalanced="0"/>
    <cacheHierarchy uniqueName="[Measures].[Total Shipment]" caption="Total Shipment" measure="1" displayFolder="" measureGroup="KPI Measures" count="0"/>
    <cacheHierarchy uniqueName="[Measures].[Delivery Count]" caption="Delivery Count" measure="1" displayFolder="" measureGroup="KPI Measures" count="0"/>
    <cacheHierarchy uniqueName="[Measures].[Delivery Rate]" caption="Delivery Rate" measure="1" displayFolder="" measureGroup="KPI Measures" count="0"/>
    <cacheHierarchy uniqueName="[Measures].[Avg Cost]" caption="Avg Cost" measure="1" displayFolder="" measureGroup="KPI Measures" count="0"/>
    <cacheHierarchy uniqueName="[Measures].[Avg Transit Day(s)]" caption="Avg Transit Day(s)" measure="1" displayFolder="" measureGroup="KPI Measures" count="0"/>
    <cacheHierarchy uniqueName="[Measures].[Avg Miles Traveled]" caption="Avg Miles Traveled" measure="1" displayFolder="" measureGroup="KPI Measures" count="0"/>
    <cacheHierarchy uniqueName="[Measures].[Avg Weight(kg)]" caption="Avg Weight(kg)" measure="1" displayFolder="" measureGroup="KPI Measures" count="0"/>
    <cacheHierarchy uniqueName="[Measures].[__XL_Count logistics_dataset]" caption="__XL_Count logistics_dataset" measure="1" displayFolder="" measureGroup="logistics_dataset" count="0" hidden="1"/>
    <cacheHierarchy uniqueName="[Measures].[__XL_Count KPI Measures]" caption="__XL_Count KPI Measures" measure="1" displayFolder="" measureGroup="KPI Measure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24184570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12E25E-F691-459B-9E81-DDD27CD58340}" name="PivotTable6" cacheId="5" applyNumberFormats="0" applyBorderFormats="0" applyFontFormats="0" applyPatternFormats="0" applyAlignmentFormats="0" applyWidthHeightFormats="1" dataCaption="Values" tag="228c7525-236e-4490-967b-dba0b885a58d" updatedVersion="8" minRefreshableVersion="5" useAutoFormatting="1" subtotalHiddenItems="1" rowGrandTotals="0" itemPrintTitles="1" createdVersion="5" indent="0" outline="1" outlineData="1" multipleFieldFilters="0" chartFormat="5">
  <location ref="I19:J24"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numFmtId="165"/>
  </dataFields>
  <formats count="1">
    <format dxfId="0">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7" name="[Calenda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95D778-33FD-4903-B6FB-9E7333027135}" name="PivotTable1" cacheId="1" applyNumberFormats="0" applyBorderFormats="0" applyFontFormats="0" applyPatternFormats="0" applyAlignmentFormats="0" applyWidthHeightFormats="1" dataCaption="Values" tag="69368006-7340-480b-a617-33f813e37469" updatedVersion="8" minRefreshableVersion="5" useAutoFormatting="1" subtotalHiddenItems="1" itemPrintTitles="1" createdVersion="5" indent="0" outline="1" outlineData="1" multipleFieldFilters="0">
  <location ref="B2:F3"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gistics_dataset].[Carrier].&amp;[Amazon]"/>
        <member name="[logistics_dataset].[Carrier].&amp;[DHL]"/>
        <member name="[logistics_dataset].[Carrier].&amp;[LaserShip]"/>
        <member name="[logistics_dataset].[Carrier].&amp;[UPS]"/>
        <member name="[logistics_dataset].[Carrier].&amp;[USP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6" type="dateBetween" evalOrder="-1" id="17" name="[Calenda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44E4B8-E2C3-4B97-9860-7C6E5FB3CFF6}" name="PivotTable3" cacheId="0" applyNumberFormats="0" applyBorderFormats="0" applyFontFormats="0" applyPatternFormats="0" applyAlignmentFormats="0" applyWidthHeightFormats="1" dataCaption="Values" tag="34df16fc-17e2-4367-a1c1-b5488ab87b82" updatedVersion="8" minRefreshableVersion="5" useAutoFormatting="1" subtotalHiddenItems="1" rowGrandTotals="0" itemPrintTitles="1" createdVersion="5" indent="0" outline="1" outlineData="1" multipleFieldFilters="0" chartFormat="6">
  <location ref="F7:G12"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numFmtId="166"/>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4"/>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7" name="[Calenda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96CF88-8FF0-48EE-82E8-CF9F60BB8AD8}" name="PivotTable2" cacheId="2" applyNumberFormats="0" applyBorderFormats="0" applyFontFormats="0" applyPatternFormats="0" applyAlignmentFormats="0" applyWidthHeightFormats="1" dataCaption="Values" tag="35be6a5c-bb48-46f0-86fa-6359e5716973" updatedVersion="8" minRefreshableVersion="5" useAutoFormatting="1" subtotalHiddenItems="1" rowGrandTotals="0" itemPrintTitles="1" createdVersion="5" indent="0" outline="1" outlineData="1" multipleFieldFilters="0" chartFormat="4">
  <location ref="B7:D1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fld="0" subtotal="count" baseField="0" baseItem="0"/>
    <dataField fld="1"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gistics_dataset].[Carrier].&amp;[Amazon]"/>
        <member name="[logistics_dataset].[Carrier].&amp;[DHL]"/>
        <member name="[logistics_dataset].[Carrier].&amp;[LaserShip]"/>
        <member name="[logistics_dataset].[Carrier].&amp;[UPS]"/>
        <member name="[logistics_dataset].[Carrier].&amp;[USP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7" name="[Calenda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DEBC1D-B7FC-4A5D-9423-2E205D0F3591}" name="PivotTable7" cacheId="6" applyNumberFormats="0" applyBorderFormats="0" applyFontFormats="0" applyPatternFormats="0" applyAlignmentFormats="0" applyWidthHeightFormats="1" dataCaption="Values" tag="a8d4ad4d-332b-4f77-be4f-cc27aedeb620" updatedVersion="8" minRefreshableVersion="5" useAutoFormatting="1" subtotalHiddenItems="1" rowGrandTotals="0" itemPrintTitles="1" createdVersion="5" indent="0" outline="1" outlineData="1" multipleFieldFilters="0" chartFormat="5">
  <location ref="M7:N14" firstHeaderRow="1" firstDataRow="1" firstDataCol="1"/>
  <pivotFields count="4">
    <pivotField axis="axisRow" allDrilled="1" subtotalTop="0" showAll="0" measureFilter="1"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numFmtId="9"/>
  </dataFields>
  <formats count="1">
    <format dxfId="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logistics_dataset].[Carrier].&amp;[Amazon]"/>
        <member name="[logistics_dataset].[Carrier].&amp;[DHL]"/>
        <member name="[logistics_dataset].[Carrier].&amp;[LaserShip]"/>
        <member name="[logistics_dataset].[Carrier].&amp;[UPS]"/>
        <member name="[logistics_dataset].[Carrier].&amp;[USPS]"/>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3" type="dateBetween" evalOrder="-1" id="18" name="[Calenda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0" type="count" id="1" iMeasureHier="20">
      <autoFilter ref="A1">
        <filterColumn colId="0">
          <top10 val="7" filterVal="7"/>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3A9EED-856C-4FF9-BBF3-377BB058F2C3}" name="PivotTable5" cacheId="4" applyNumberFormats="0" applyBorderFormats="0" applyFontFormats="0" applyPatternFormats="0" applyAlignmentFormats="0" applyWidthHeightFormats="1" dataCaption="Values" tag="bc17ac12-c191-407a-ad8a-6a2a0774ce6c" updatedVersion="8" minRefreshableVersion="5" useAutoFormatting="1" subtotalHiddenItems="1" rowGrandTotals="0" itemPrintTitles="1" createdVersion="5" indent="0" outline="1" outlineData="1" multipleFieldFilters="0" chartFormat="4">
  <location ref="F19:G24" firstHeaderRow="1" firstDataRow="1" firstDataCol="1"/>
  <pivotFields count="3">
    <pivotField axis="axisRow" allDrilled="1" subtotalTop="0" showAll="0" dataSourceSort="1" defaultSubtotal="0" defaultAttributeDrillState="1">
      <items count="5">
        <item s="1" x="0"/>
        <item s="1" x="1"/>
        <item s="1" x="2"/>
        <item s="1" x="3"/>
        <item s="1"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7" name="[Calenda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501951-3E7D-4DDE-8312-ACA379799156}" name="PivotTable4" cacheId="3" applyNumberFormats="0" applyBorderFormats="0" applyFontFormats="0" applyPatternFormats="0" applyAlignmentFormats="0" applyWidthHeightFormats="1" dataCaption="Values" tag="010dfe9b-a577-4ca8-8aeb-dd0e36a1bf28" updatedVersion="8" minRefreshableVersion="5" useAutoFormatting="1" subtotalHiddenItems="1" rowGrandTotals="0" itemPrintTitles="1" createdVersion="5" indent="0" outline="1" outlineData="1" multipleFieldFilters="0" chartFormat="6">
  <location ref="I7:J12" firstHeaderRow="1" firstDataRow="1" firstDataCol="1"/>
  <pivotFields count="3">
    <pivotField axis="axisRow" allDrilled="1" subtotalTop="0" showAll="0" dataSourceSort="1" defaultSubtotal="0" defaultAttributeDrillState="1">
      <items count="7">
        <item s="1" x="0"/>
        <item s="1" x="1"/>
        <item s="1" x="2"/>
        <item s="1" x="3"/>
        <item s="1" x="4"/>
        <item x="5"/>
        <item x="6"/>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chartFormats count="8">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0" count="1" selected="0">
            <x v="0"/>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5"/>
          </reference>
        </references>
      </pivotArea>
    </chartFormat>
    <chartFormat chart="4" format="21">
      <pivotArea type="data" outline="0" fieldPosition="0">
        <references count="2">
          <reference field="4294967294" count="1" selected="0">
            <x v="0"/>
          </reference>
          <reference field="0" count="1" selected="0">
            <x v="2"/>
          </reference>
        </references>
      </pivotArea>
    </chartFormat>
    <chartFormat chart="4" format="22">
      <pivotArea type="data" outline="0" fieldPosition="0">
        <references count="2">
          <reference field="4294967294" count="1" selected="0">
            <x v="0"/>
          </reference>
          <reference field="0" count="1" selected="0">
            <x v="6"/>
          </reference>
        </references>
      </pivotArea>
    </chartFormat>
    <chartFormat chart="4" format="23">
      <pivotArea type="data" outline="0" fieldPosition="0">
        <references count="2">
          <reference field="4294967294" count="1" selected="0">
            <x v="0"/>
          </reference>
          <reference field="0" count="1" selected="0">
            <x v="3"/>
          </reference>
        </references>
      </pivotArea>
    </chartFormat>
    <chartFormat chart="4" format="24">
      <pivotArea type="data" outline="0" fieldPosition="0">
        <references count="2">
          <reference field="4294967294" count="1" selected="0">
            <x v="0"/>
          </reference>
          <reference field="0" count="1" selected="0">
            <x v="4"/>
          </reference>
        </references>
      </pivotArea>
    </chartFormat>
  </chartFormats>
  <pivotHierarchies count="29">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7" name="[Calenda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Measures]"/>
        <x15:activeTabTopLevelEntity name="[Calendar]"/>
        <x15:activeTabTopLevelEntity name="[logistics_datase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08B29352-8203-424B-A7A7-BC4F2D719365}" sourceName="[logistics_dataset].[Carrier]">
  <pivotTables>
    <pivotTable tabId="1" name="PivotTable3"/>
    <pivotTable tabId="1" name="PivotTable1"/>
    <pivotTable tabId="1" name="PivotTable2"/>
    <pivotTable tabId="1" name="PivotTable4"/>
    <pivotTable tabId="1" name="PivotTable5"/>
    <pivotTable tabId="1" name="PivotTable6"/>
    <pivotTable tabId="1" name="PivotTable7"/>
  </pivotTables>
  <data>
    <olap pivotCacheId="710841823">
      <levels count="2">
        <level uniqueName="[logistics_dataset].[Carrier].[(All)]" sourceCaption="(All)" count="0"/>
        <level uniqueName="[logistics_dataset].[Carrier].[Carrier]" sourceCaption="Carrier" count="7">
          <ranges>
            <range startItem="0">
              <i n="[logistics_dataset].[Carrier].&amp;[Amazon]" c="Amazon"/>
              <i n="[logistics_dataset].[Carrier].&amp;[DHL]" c="DHL"/>
              <i n="[logistics_dataset].[Carrier].&amp;[FedEx]" c="FedEx"/>
              <i n="[logistics_dataset].[Carrier].&amp;[LaserShip]" c="LaserShip"/>
              <i n="[logistics_dataset].[Carrier].&amp;[OnTrac]" c="OnTrac"/>
              <i n="[logistics_dataset].[Carrier].&amp;[UPS]" c="UPS"/>
              <i n="[logistics_dataset].[Carrier].&amp;[USPS]" c="USPS"/>
            </range>
          </ranges>
        </level>
      </levels>
      <selections count="5">
        <selection n="[logistics_dataset].[Carrier].&amp;[Amazon]"/>
        <selection n="[logistics_dataset].[Carrier].&amp;[DHL]"/>
        <selection n="[logistics_dataset].[Carrier].&amp;[LaserShip]"/>
        <selection n="[logistics_dataset].[Carrier].&amp;[UPS]"/>
        <selection n="[logistics_dataset].[Carrier].&amp;[USP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xr10:uid="{DE12BF27-DA7C-422A-9CB7-2075C71952C5}" cache="Slicer_Carrier" caption="Carrier" showCaption="0" level="1" style="Slicer Style 1" rowHeight="27432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B59041B-0221-4423-A820-9211111A5CA2}" sourceName="[Calendar].[Date]">
  <pivotTables>
    <pivotTable tabId="1" name="PivotTable4"/>
    <pivotTable tabId="1" name="PivotTable1"/>
    <pivotTable tabId="1" name="PivotTable2"/>
    <pivotTable tabId="1" name="PivotTable3"/>
    <pivotTable tabId="1" name="PivotTable5"/>
    <pivotTable tabId="1" name="PivotTable6"/>
    <pivotTable tabId="1" name="PivotTable7"/>
  </pivotTables>
  <state minimalRefreshVersion="6" lastRefreshVersion="6" pivotCacheId="1241845706" filterType="dateBetween">
    <selection startDate="2023-01-01T00:00:00" endDate="2023-12-31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BCA24FF-A391-4FA3-B897-3A4351626781}" cache="Timeline_Date" caption="Date" showHeader="0" showSelectionLabel="0" showTimeLevel="0" showHorizontalScrollbar="0" level="2" selectionLevel="0" scrollPosition="2023-01-01T00:00:00" style="Timeline Style 1"/>
</timelines>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6D5B4-5996-494F-88DA-B888A0D00DA0}">
  <dimension ref="B1:N24"/>
  <sheetViews>
    <sheetView workbookViewId="0">
      <selection activeCell="M19" sqref="M19"/>
    </sheetView>
  </sheetViews>
  <sheetFormatPr defaultRowHeight="15" x14ac:dyDescent="0.25"/>
  <cols>
    <col min="2" max="2" width="13.140625" bestFit="1" customWidth="1"/>
    <col min="3" max="3" width="14.5703125" bestFit="1" customWidth="1"/>
    <col min="4" max="4" width="14.28515625" bestFit="1" customWidth="1"/>
    <col min="5" max="5" width="16.85546875" bestFit="1" customWidth="1"/>
    <col min="6" max="6" width="13.140625" bestFit="1" customWidth="1"/>
    <col min="7" max="7" width="14.85546875" bestFit="1" customWidth="1"/>
    <col min="9" max="9" width="13.140625" bestFit="1" customWidth="1"/>
    <col min="10" max="10" width="16.85546875" bestFit="1" customWidth="1"/>
    <col min="11" max="11" width="9.140625" style="6"/>
    <col min="13" max="13" width="13.140625" bestFit="1" customWidth="1"/>
    <col min="14" max="14" width="12.85546875" bestFit="1" customWidth="1"/>
  </cols>
  <sheetData>
    <row r="1" spans="2:14" x14ac:dyDescent="0.25">
      <c r="B1" s="12" t="s">
        <v>7</v>
      </c>
      <c r="C1" s="12"/>
      <c r="D1" s="12"/>
      <c r="E1" s="12"/>
      <c r="F1" s="12"/>
    </row>
    <row r="2" spans="2:14" x14ac:dyDescent="0.25">
      <c r="B2" t="s">
        <v>0</v>
      </c>
      <c r="C2" t="s">
        <v>2</v>
      </c>
      <c r="D2" t="s">
        <v>3</v>
      </c>
      <c r="E2" t="s">
        <v>4</v>
      </c>
      <c r="F2" t="s">
        <v>5</v>
      </c>
    </row>
    <row r="3" spans="2:14" x14ac:dyDescent="0.25">
      <c r="B3" s="1">
        <v>1406</v>
      </c>
      <c r="C3" s="3">
        <v>0.82219061166429586</v>
      </c>
      <c r="D3" s="4">
        <v>206.57467283072546</v>
      </c>
      <c r="E3" s="2">
        <v>4.1714082503556185</v>
      </c>
      <c r="F3" s="4">
        <v>1276.0526315789473</v>
      </c>
    </row>
    <row r="4" spans="2:14" x14ac:dyDescent="0.25">
      <c r="B4" s="1">
        <f>GETPIVOTDATA("[Measures].[Total Shipment]",$B$2)</f>
        <v>1406</v>
      </c>
      <c r="C4" s="3">
        <f>GETPIVOTDATA("[Measures].[Delivery Rate]",$B$2)</f>
        <v>0.82219061166429586</v>
      </c>
      <c r="D4" s="10">
        <f>GETPIVOTDATA("[Measures].[Avg Cost]",$B$2)</f>
        <v>206.57467283072546</v>
      </c>
      <c r="E4" s="2" t="str">
        <f>ROUND(GETPIVOTDATA("[Measures].[Avg Transit Day(s)]",$B$2), 0) &amp; IF(GETPIVOTDATA("[Measures].[Avg Transit Day(s)]",$B$2) &gt; 1, "Days", "Day")</f>
        <v>4Days</v>
      </c>
      <c r="F4" s="4">
        <f>GETPIVOTDATA("[Measures].[Avg Miles Traveled]",$B$2)</f>
        <v>1276.0526315789473</v>
      </c>
      <c r="G4" s="4"/>
    </row>
    <row r="6" spans="2:14" x14ac:dyDescent="0.25">
      <c r="B6" s="12" t="s">
        <v>8</v>
      </c>
      <c r="C6" s="12"/>
      <c r="D6" s="12"/>
      <c r="F6" s="12" t="s">
        <v>27</v>
      </c>
      <c r="G6" s="12"/>
      <c r="I6" s="12" t="s">
        <v>28</v>
      </c>
      <c r="J6" s="12"/>
      <c r="M6" s="12" t="s">
        <v>31</v>
      </c>
      <c r="N6" s="12"/>
    </row>
    <row r="7" spans="2:14" x14ac:dyDescent="0.25">
      <c r="B7" s="5" t="s">
        <v>9</v>
      </c>
      <c r="C7" t="s">
        <v>0</v>
      </c>
      <c r="D7" t="s">
        <v>1</v>
      </c>
      <c r="F7" s="5" t="s">
        <v>9</v>
      </c>
      <c r="G7" t="s">
        <v>3</v>
      </c>
      <c r="I7" s="5" t="s">
        <v>9</v>
      </c>
      <c r="J7" t="s">
        <v>2</v>
      </c>
      <c r="K7" s="6" t="str">
        <f>_xlfn.XLOOKUP(MAX(J8:J14),J8:J14,I8:I14,0,0,1)</f>
        <v>UPS</v>
      </c>
      <c r="M7" s="5" t="s">
        <v>9</v>
      </c>
      <c r="N7" t="s">
        <v>2</v>
      </c>
    </row>
    <row r="8" spans="2:14" x14ac:dyDescent="0.25">
      <c r="B8" s="6" t="s">
        <v>10</v>
      </c>
      <c r="C8" s="1">
        <v>117</v>
      </c>
      <c r="D8" s="2">
        <v>98</v>
      </c>
      <c r="F8" s="6" t="s">
        <v>22</v>
      </c>
      <c r="G8" s="10">
        <v>193.97339416058395</v>
      </c>
      <c r="I8" s="6" t="s">
        <v>22</v>
      </c>
      <c r="J8" s="3">
        <v>0.79197080291970801</v>
      </c>
      <c r="K8" s="7">
        <f>MAX(J8:J14)</f>
        <v>0.86328125</v>
      </c>
      <c r="M8" s="6" t="s">
        <v>32</v>
      </c>
      <c r="N8" s="9">
        <v>0.88043478260869568</v>
      </c>
    </row>
    <row r="9" spans="2:14" x14ac:dyDescent="0.25">
      <c r="B9" s="6" t="s">
        <v>11</v>
      </c>
      <c r="C9" s="1">
        <v>102</v>
      </c>
      <c r="D9" s="2">
        <v>81</v>
      </c>
      <c r="F9" s="6" t="s">
        <v>23</v>
      </c>
      <c r="G9" s="10">
        <v>221.58569395017796</v>
      </c>
      <c r="I9" s="6" t="s">
        <v>23</v>
      </c>
      <c r="J9" s="3">
        <v>0.8220640569395018</v>
      </c>
      <c r="M9" s="6" t="s">
        <v>33</v>
      </c>
      <c r="N9" s="9">
        <v>0.83898305084745761</v>
      </c>
    </row>
    <row r="10" spans="2:14" x14ac:dyDescent="0.25">
      <c r="B10" s="6" t="s">
        <v>12</v>
      </c>
      <c r="C10" s="1">
        <v>111</v>
      </c>
      <c r="D10" s="2">
        <v>90</v>
      </c>
      <c r="F10" s="6" t="s">
        <v>24</v>
      </c>
      <c r="G10" s="10">
        <v>207.59366336633661</v>
      </c>
      <c r="I10" s="6" t="s">
        <v>24</v>
      </c>
      <c r="J10" s="3">
        <v>0.81848184818481851</v>
      </c>
      <c r="M10" s="6" t="s">
        <v>34</v>
      </c>
      <c r="N10" s="9">
        <v>0.83908045977011492</v>
      </c>
    </row>
    <row r="11" spans="2:14" x14ac:dyDescent="0.25">
      <c r="B11" s="6" t="s">
        <v>13</v>
      </c>
      <c r="C11" s="1">
        <v>122</v>
      </c>
      <c r="D11" s="2">
        <v>101</v>
      </c>
      <c r="F11" s="6" t="s">
        <v>25</v>
      </c>
      <c r="G11" s="10">
        <v>229.06425781249999</v>
      </c>
      <c r="I11" s="6" t="s">
        <v>25</v>
      </c>
      <c r="J11" s="3">
        <v>0.86328125</v>
      </c>
      <c r="M11" s="6" t="s">
        <v>35</v>
      </c>
      <c r="N11" s="9">
        <v>0.83333333333333337</v>
      </c>
    </row>
    <row r="12" spans="2:14" x14ac:dyDescent="0.25">
      <c r="B12" s="6" t="s">
        <v>14</v>
      </c>
      <c r="C12" s="1">
        <v>114</v>
      </c>
      <c r="D12" s="2">
        <v>91</v>
      </c>
      <c r="F12" s="6" t="s">
        <v>26</v>
      </c>
      <c r="G12" s="10">
        <v>183.17934931506849</v>
      </c>
      <c r="I12" s="6" t="s">
        <v>26</v>
      </c>
      <c r="J12" s="3">
        <v>0.81849315068493156</v>
      </c>
      <c r="M12" s="6" t="s">
        <v>36</v>
      </c>
      <c r="N12" s="9">
        <v>0.83720930232558144</v>
      </c>
    </row>
    <row r="13" spans="2:14" x14ac:dyDescent="0.25">
      <c r="B13" s="6" t="s">
        <v>15</v>
      </c>
      <c r="C13" s="1">
        <v>119</v>
      </c>
      <c r="D13" s="2">
        <v>103</v>
      </c>
      <c r="M13" s="6" t="s">
        <v>37</v>
      </c>
      <c r="N13" s="9">
        <v>0.85849056603773588</v>
      </c>
    </row>
    <row r="14" spans="2:14" x14ac:dyDescent="0.25">
      <c r="B14" s="6" t="s">
        <v>16</v>
      </c>
      <c r="C14" s="1">
        <v>118</v>
      </c>
      <c r="D14" s="2">
        <v>99</v>
      </c>
      <c r="M14" s="6" t="s">
        <v>38</v>
      </c>
      <c r="N14" s="9">
        <v>0.86792452830188682</v>
      </c>
    </row>
    <row r="15" spans="2:14" x14ac:dyDescent="0.25">
      <c r="B15" s="6" t="s">
        <v>17</v>
      </c>
      <c r="C15" s="1">
        <v>129</v>
      </c>
      <c r="D15" s="2">
        <v>102</v>
      </c>
    </row>
    <row r="16" spans="2:14" x14ac:dyDescent="0.25">
      <c r="B16" s="6" t="s">
        <v>18</v>
      </c>
      <c r="C16" s="1">
        <v>112</v>
      </c>
      <c r="D16" s="2">
        <v>94</v>
      </c>
    </row>
    <row r="17" spans="2:10" x14ac:dyDescent="0.25">
      <c r="B17" s="6" t="s">
        <v>19</v>
      </c>
      <c r="C17" s="1">
        <v>122</v>
      </c>
      <c r="D17" s="2">
        <v>104</v>
      </c>
    </row>
    <row r="18" spans="2:10" x14ac:dyDescent="0.25">
      <c r="B18" s="6" t="s">
        <v>20</v>
      </c>
      <c r="C18" s="1">
        <v>128</v>
      </c>
      <c r="D18" s="2">
        <v>106</v>
      </c>
      <c r="F18" s="12" t="s">
        <v>29</v>
      </c>
      <c r="G18" s="12"/>
      <c r="I18" s="12" t="s">
        <v>30</v>
      </c>
      <c r="J18" s="12"/>
    </row>
    <row r="19" spans="2:10" x14ac:dyDescent="0.25">
      <c r="B19" s="6" t="s">
        <v>21</v>
      </c>
      <c r="C19" s="1">
        <v>112</v>
      </c>
      <c r="D19" s="2">
        <v>87</v>
      </c>
      <c r="F19" s="5" t="s">
        <v>9</v>
      </c>
      <c r="G19" t="s">
        <v>6</v>
      </c>
      <c r="I19" s="5" t="s">
        <v>9</v>
      </c>
      <c r="J19" t="s">
        <v>4</v>
      </c>
    </row>
    <row r="20" spans="2:10" x14ac:dyDescent="0.25">
      <c r="F20" s="6" t="s">
        <v>22</v>
      </c>
      <c r="G20" s="4">
        <v>26.23868613138686</v>
      </c>
      <c r="I20" s="6" t="s">
        <v>22</v>
      </c>
      <c r="J20" s="8">
        <v>4.3248175182481754</v>
      </c>
    </row>
    <row r="21" spans="2:10" x14ac:dyDescent="0.25">
      <c r="F21" s="6" t="s">
        <v>23</v>
      </c>
      <c r="G21" s="4">
        <v>25.019217081850531</v>
      </c>
      <c r="I21" s="6" t="s">
        <v>23</v>
      </c>
      <c r="J21" s="8">
        <v>4.2704626334519569</v>
      </c>
    </row>
    <row r="22" spans="2:10" x14ac:dyDescent="0.25">
      <c r="F22" s="6" t="s">
        <v>24</v>
      </c>
      <c r="G22" s="4">
        <v>28.993729372937295</v>
      </c>
      <c r="I22" s="6" t="s">
        <v>24</v>
      </c>
      <c r="J22" s="8">
        <v>4.0363036303630366</v>
      </c>
    </row>
    <row r="23" spans="2:10" x14ac:dyDescent="0.25">
      <c r="F23" s="6" t="s">
        <v>25</v>
      </c>
      <c r="G23" s="4">
        <v>25.694921874999999</v>
      </c>
      <c r="I23" s="6" t="s">
        <v>25</v>
      </c>
      <c r="J23" s="8">
        <v>4.19921875</v>
      </c>
    </row>
    <row r="24" spans="2:10" x14ac:dyDescent="0.25">
      <c r="F24" s="6" t="s">
        <v>26</v>
      </c>
      <c r="G24" s="4">
        <v>31.478082191780825</v>
      </c>
      <c r="I24" s="6" t="s">
        <v>26</v>
      </c>
      <c r="J24" s="8">
        <v>4.0479452054794525</v>
      </c>
    </row>
  </sheetData>
  <mergeCells count="7">
    <mergeCell ref="B1:F1"/>
    <mergeCell ref="I6:J6"/>
    <mergeCell ref="F18:G18"/>
    <mergeCell ref="I18:J18"/>
    <mergeCell ref="M6:N6"/>
    <mergeCell ref="B6:D6"/>
    <mergeCell ref="F6:G6"/>
  </mergeCell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5C4E3-EA7A-4BDC-BEDA-CA5CEFE8EB24}">
  <dimension ref="B2:U38"/>
  <sheetViews>
    <sheetView showGridLines="0" tabSelected="1" zoomScaleNormal="100" workbookViewId="0">
      <selection activeCell="U39" sqref="U39"/>
    </sheetView>
  </sheetViews>
  <sheetFormatPr defaultRowHeight="15" x14ac:dyDescent="0.25"/>
  <cols>
    <col min="1" max="16384" width="9.140625" style="11"/>
  </cols>
  <sheetData>
    <row r="2" spans="2:21" x14ac:dyDescent="0.25">
      <c r="B2" s="13"/>
      <c r="C2" s="13"/>
      <c r="D2" s="13"/>
      <c r="E2" s="13"/>
      <c r="F2" s="13"/>
      <c r="G2" s="13"/>
      <c r="H2" s="13"/>
      <c r="I2" s="13"/>
      <c r="J2" s="13"/>
      <c r="K2" s="13"/>
      <c r="L2" s="13"/>
      <c r="M2" s="13"/>
      <c r="N2" s="13"/>
      <c r="O2" s="13"/>
      <c r="P2" s="13"/>
      <c r="Q2" s="13"/>
      <c r="R2" s="13"/>
      <c r="S2" s="13"/>
      <c r="T2" s="13"/>
      <c r="U2" s="13"/>
    </row>
    <row r="3" spans="2:21" x14ac:dyDescent="0.25">
      <c r="B3" s="13"/>
      <c r="C3" s="13"/>
      <c r="D3" s="13"/>
      <c r="E3" s="13"/>
      <c r="F3" s="13"/>
      <c r="G3" s="13"/>
      <c r="H3" s="13"/>
      <c r="I3" s="13"/>
      <c r="J3" s="13"/>
      <c r="K3" s="13"/>
      <c r="L3" s="13"/>
      <c r="M3" s="13"/>
      <c r="N3" s="13"/>
      <c r="O3" s="13"/>
      <c r="P3" s="13"/>
      <c r="Q3" s="13"/>
      <c r="R3" s="13"/>
      <c r="S3" s="13"/>
      <c r="T3" s="13"/>
      <c r="U3" s="13"/>
    </row>
    <row r="4" spans="2:21" x14ac:dyDescent="0.25">
      <c r="B4" s="13"/>
      <c r="C4" s="13"/>
      <c r="D4" s="13"/>
      <c r="E4" s="13"/>
      <c r="F4" s="13"/>
      <c r="G4" s="13"/>
      <c r="H4" s="13"/>
      <c r="I4" s="13"/>
      <c r="J4" s="13"/>
      <c r="K4" s="13"/>
      <c r="L4" s="13"/>
      <c r="M4" s="13"/>
      <c r="N4" s="13"/>
      <c r="O4" s="13"/>
      <c r="P4" s="13"/>
      <c r="Q4" s="13"/>
      <c r="R4" s="13"/>
      <c r="S4" s="13"/>
      <c r="T4" s="13"/>
      <c r="U4" s="13"/>
    </row>
    <row r="5" spans="2:21" x14ac:dyDescent="0.25">
      <c r="B5" s="13"/>
      <c r="C5" s="13"/>
      <c r="D5" s="13"/>
      <c r="E5" s="13"/>
      <c r="F5" s="13"/>
      <c r="G5" s="13"/>
      <c r="H5" s="13"/>
      <c r="I5" s="13"/>
      <c r="J5" s="13"/>
      <c r="K5" s="13"/>
      <c r="L5" s="13"/>
      <c r="M5" s="13"/>
      <c r="N5" s="13"/>
      <c r="O5" s="13"/>
      <c r="P5" s="13"/>
      <c r="Q5" s="13"/>
      <c r="R5" s="13"/>
      <c r="S5" s="13"/>
      <c r="T5" s="13"/>
      <c r="U5" s="13"/>
    </row>
    <row r="6" spans="2:21" x14ac:dyDescent="0.25">
      <c r="B6" s="13"/>
      <c r="C6" s="13"/>
      <c r="D6" s="13"/>
      <c r="E6" s="13"/>
      <c r="F6" s="13"/>
      <c r="G6" s="13"/>
      <c r="H6" s="13"/>
      <c r="I6" s="13"/>
      <c r="J6" s="13"/>
      <c r="K6" s="13"/>
      <c r="L6" s="13"/>
      <c r="M6" s="13"/>
      <c r="N6" s="13"/>
      <c r="O6" s="13"/>
      <c r="P6" s="13"/>
      <c r="Q6" s="13"/>
      <c r="R6" s="13"/>
      <c r="S6" s="13"/>
      <c r="T6" s="13"/>
      <c r="U6" s="13"/>
    </row>
    <row r="7" spans="2:21" x14ac:dyDescent="0.25">
      <c r="B7" s="13"/>
      <c r="C7" s="13"/>
      <c r="D7" s="13"/>
      <c r="E7" s="13"/>
      <c r="F7" s="13"/>
      <c r="G7" s="13"/>
      <c r="H7" s="13"/>
      <c r="I7" s="13"/>
      <c r="J7" s="13"/>
      <c r="K7" s="13"/>
      <c r="L7" s="13"/>
      <c r="M7" s="13"/>
      <c r="N7" s="13"/>
      <c r="O7" s="13"/>
      <c r="P7" s="13"/>
      <c r="Q7" s="13"/>
      <c r="R7" s="13"/>
      <c r="S7" s="13"/>
      <c r="T7" s="13"/>
      <c r="U7" s="13"/>
    </row>
    <row r="8" spans="2:21" x14ac:dyDescent="0.25">
      <c r="B8" s="13"/>
      <c r="C8" s="13"/>
      <c r="D8" s="13"/>
      <c r="E8" s="13"/>
      <c r="F8" s="13"/>
      <c r="G8" s="13"/>
      <c r="H8" s="13"/>
      <c r="I8" s="13"/>
      <c r="J8" s="13"/>
      <c r="K8" s="13"/>
      <c r="L8" s="13"/>
      <c r="M8" s="13"/>
      <c r="N8" s="13"/>
      <c r="O8" s="13"/>
      <c r="P8" s="13"/>
      <c r="Q8" s="13"/>
      <c r="R8" s="13"/>
      <c r="S8" s="13"/>
      <c r="T8" s="13"/>
      <c r="U8" s="13"/>
    </row>
    <row r="9" spans="2:21" x14ac:dyDescent="0.25">
      <c r="B9" s="13"/>
      <c r="C9" s="13"/>
      <c r="D9" s="13"/>
      <c r="E9" s="13"/>
      <c r="F9" s="13"/>
      <c r="G9" s="13"/>
      <c r="H9" s="13"/>
      <c r="I9" s="13"/>
      <c r="J9" s="13"/>
      <c r="K9" s="13"/>
      <c r="L9" s="13"/>
      <c r="M9" s="13"/>
      <c r="N9" s="13"/>
      <c r="O9" s="13"/>
      <c r="P9" s="13"/>
      <c r="Q9" s="13"/>
      <c r="R9" s="13"/>
      <c r="S9" s="13"/>
      <c r="T9" s="13"/>
      <c r="U9" s="13"/>
    </row>
    <row r="10" spans="2:21" x14ac:dyDescent="0.25">
      <c r="B10" s="13"/>
      <c r="C10" s="13"/>
      <c r="D10" s="13"/>
      <c r="E10" s="13"/>
      <c r="F10" s="13"/>
      <c r="G10" s="13"/>
      <c r="H10" s="13"/>
      <c r="I10" s="13"/>
      <c r="J10" s="13"/>
      <c r="K10" s="13"/>
      <c r="L10" s="13"/>
      <c r="M10" s="13"/>
      <c r="N10" s="13"/>
      <c r="O10" s="13"/>
      <c r="P10" s="13"/>
      <c r="Q10" s="13"/>
      <c r="R10" s="13"/>
      <c r="S10" s="13"/>
      <c r="T10" s="13"/>
      <c r="U10" s="13"/>
    </row>
    <row r="11" spans="2:21" x14ac:dyDescent="0.25">
      <c r="B11" s="13"/>
      <c r="C11" s="13"/>
      <c r="D11" s="13"/>
      <c r="E11" s="13"/>
      <c r="F11" s="13"/>
      <c r="G11" s="13"/>
      <c r="H11" s="13"/>
      <c r="I11" s="13"/>
      <c r="J11" s="13"/>
      <c r="K11" s="13"/>
      <c r="L11" s="13"/>
      <c r="M11" s="13"/>
      <c r="N11" s="13"/>
      <c r="O11" s="13"/>
      <c r="P11" s="13"/>
      <c r="Q11" s="13"/>
      <c r="R11" s="13"/>
      <c r="S11" s="13"/>
      <c r="T11" s="13"/>
      <c r="U11" s="13"/>
    </row>
    <row r="12" spans="2:21" x14ac:dyDescent="0.25">
      <c r="B12" s="13"/>
      <c r="C12" s="13"/>
      <c r="D12" s="13"/>
      <c r="E12" s="13"/>
      <c r="F12" s="13"/>
      <c r="G12" s="13"/>
      <c r="H12" s="13"/>
      <c r="I12" s="13"/>
      <c r="J12" s="13"/>
      <c r="K12" s="13"/>
      <c r="L12" s="13"/>
      <c r="M12" s="13"/>
      <c r="N12" s="13"/>
      <c r="O12" s="13"/>
      <c r="P12" s="13"/>
      <c r="Q12" s="13"/>
      <c r="R12" s="13"/>
      <c r="S12" s="13"/>
      <c r="T12" s="13"/>
      <c r="U12" s="13"/>
    </row>
    <row r="13" spans="2:21" x14ac:dyDescent="0.25">
      <c r="B13" s="13"/>
      <c r="C13" s="13"/>
      <c r="D13" s="13"/>
      <c r="E13" s="13"/>
      <c r="F13" s="13"/>
      <c r="G13" s="13"/>
      <c r="H13" s="13"/>
      <c r="I13" s="13"/>
      <c r="J13" s="13"/>
      <c r="K13" s="13"/>
      <c r="L13" s="13"/>
      <c r="M13" s="13"/>
      <c r="N13" s="13"/>
      <c r="O13" s="13"/>
      <c r="P13" s="13"/>
      <c r="Q13" s="13"/>
      <c r="R13" s="13"/>
      <c r="S13" s="13"/>
      <c r="T13" s="13"/>
      <c r="U13" s="13"/>
    </row>
    <row r="14" spans="2:21" x14ac:dyDescent="0.25">
      <c r="B14" s="13"/>
      <c r="C14" s="13"/>
      <c r="D14" s="13"/>
      <c r="E14" s="13"/>
      <c r="F14" s="13"/>
      <c r="G14" s="13"/>
      <c r="H14" s="13"/>
      <c r="I14" s="13"/>
      <c r="J14" s="13"/>
      <c r="K14" s="13"/>
      <c r="L14" s="13"/>
      <c r="M14" s="13"/>
      <c r="N14" s="13"/>
      <c r="O14" s="13"/>
      <c r="P14" s="13"/>
      <c r="Q14" s="13"/>
      <c r="R14" s="13"/>
      <c r="S14" s="13"/>
      <c r="T14" s="13"/>
      <c r="U14" s="13"/>
    </row>
    <row r="15" spans="2:21" x14ac:dyDescent="0.25">
      <c r="B15" s="13"/>
      <c r="C15" s="13"/>
      <c r="D15" s="13"/>
      <c r="E15" s="13"/>
      <c r="F15" s="13"/>
      <c r="G15" s="13"/>
      <c r="H15" s="13"/>
      <c r="I15" s="13"/>
      <c r="J15" s="13"/>
      <c r="K15" s="13"/>
      <c r="L15" s="13"/>
      <c r="M15" s="13"/>
      <c r="N15" s="13"/>
      <c r="O15" s="13"/>
      <c r="P15" s="13"/>
      <c r="Q15" s="13"/>
      <c r="R15" s="13"/>
      <c r="S15" s="13"/>
      <c r="T15" s="13"/>
      <c r="U15" s="13"/>
    </row>
    <row r="16" spans="2:21" x14ac:dyDescent="0.25">
      <c r="B16" s="13"/>
      <c r="C16" s="13"/>
      <c r="D16" s="13"/>
      <c r="E16" s="13"/>
      <c r="F16" s="13"/>
      <c r="G16" s="13"/>
      <c r="H16" s="13"/>
      <c r="I16" s="13"/>
      <c r="J16" s="13"/>
      <c r="K16" s="13"/>
      <c r="L16" s="13"/>
      <c r="M16" s="13"/>
      <c r="N16" s="13"/>
      <c r="O16" s="13"/>
      <c r="P16" s="13"/>
      <c r="Q16" s="13"/>
      <c r="R16" s="13"/>
      <c r="S16" s="13"/>
      <c r="T16" s="13"/>
      <c r="U16" s="13"/>
    </row>
    <row r="17" spans="2:21" x14ac:dyDescent="0.25">
      <c r="B17" s="13"/>
      <c r="C17" s="13"/>
      <c r="D17" s="13"/>
      <c r="E17" s="13"/>
      <c r="F17" s="13"/>
      <c r="G17" s="13"/>
      <c r="H17" s="13"/>
      <c r="I17" s="13"/>
      <c r="J17" s="13"/>
      <c r="K17" s="13"/>
      <c r="L17" s="13"/>
      <c r="M17" s="13"/>
      <c r="N17" s="13"/>
      <c r="O17" s="13"/>
      <c r="P17" s="13"/>
      <c r="Q17" s="13"/>
      <c r="R17" s="13"/>
      <c r="S17" s="13"/>
      <c r="T17" s="13"/>
      <c r="U17" s="13"/>
    </row>
    <row r="18" spans="2:21" x14ac:dyDescent="0.25">
      <c r="B18" s="13"/>
      <c r="C18" s="13"/>
      <c r="D18" s="13"/>
      <c r="E18" s="13"/>
      <c r="F18" s="13"/>
      <c r="G18" s="13"/>
      <c r="H18" s="13"/>
      <c r="I18" s="13"/>
      <c r="J18" s="13"/>
      <c r="K18" s="13"/>
      <c r="L18" s="13"/>
      <c r="M18" s="13"/>
      <c r="N18" s="13"/>
      <c r="O18" s="13"/>
      <c r="P18" s="13"/>
      <c r="Q18" s="13"/>
      <c r="R18" s="13"/>
      <c r="S18" s="13"/>
      <c r="T18" s="13"/>
      <c r="U18" s="13"/>
    </row>
    <row r="19" spans="2:21" x14ac:dyDescent="0.25">
      <c r="B19" s="13"/>
      <c r="C19" s="13"/>
      <c r="D19" s="13"/>
      <c r="E19" s="13"/>
      <c r="F19" s="13"/>
      <c r="G19" s="13"/>
      <c r="H19" s="13"/>
      <c r="I19" s="13"/>
      <c r="J19" s="13"/>
      <c r="K19" s="13"/>
      <c r="L19" s="13"/>
      <c r="M19" s="13"/>
      <c r="N19" s="13"/>
      <c r="O19" s="13"/>
      <c r="P19" s="13"/>
      <c r="Q19" s="13"/>
      <c r="R19" s="13"/>
      <c r="S19" s="13"/>
      <c r="T19" s="13"/>
      <c r="U19" s="13"/>
    </row>
    <row r="20" spans="2:21" x14ac:dyDescent="0.25">
      <c r="B20" s="13"/>
      <c r="C20" s="13"/>
      <c r="D20" s="13"/>
      <c r="E20" s="13"/>
      <c r="F20" s="13"/>
      <c r="G20" s="13"/>
      <c r="H20" s="13"/>
      <c r="I20" s="13"/>
      <c r="J20" s="13"/>
      <c r="K20" s="13"/>
      <c r="L20" s="13"/>
      <c r="M20" s="13"/>
      <c r="N20" s="13"/>
      <c r="O20" s="13"/>
      <c r="P20" s="13"/>
      <c r="Q20" s="13"/>
      <c r="R20" s="13"/>
      <c r="S20" s="13"/>
      <c r="T20" s="13"/>
      <c r="U20" s="13"/>
    </row>
    <row r="21" spans="2:21" x14ac:dyDescent="0.25">
      <c r="B21" s="13"/>
      <c r="C21" s="13"/>
      <c r="D21" s="13"/>
      <c r="E21" s="13"/>
      <c r="F21" s="13"/>
      <c r="G21" s="13"/>
      <c r="H21" s="13"/>
      <c r="I21" s="13"/>
      <c r="J21" s="13"/>
      <c r="K21" s="13"/>
      <c r="L21" s="13"/>
      <c r="M21" s="13"/>
      <c r="N21" s="13"/>
      <c r="O21" s="13"/>
      <c r="P21" s="13"/>
      <c r="Q21" s="13"/>
      <c r="R21" s="13"/>
      <c r="S21" s="13"/>
      <c r="T21" s="13"/>
      <c r="U21" s="13"/>
    </row>
    <row r="22" spans="2:21" x14ac:dyDescent="0.25">
      <c r="B22" s="13"/>
      <c r="C22" s="13"/>
      <c r="D22" s="13"/>
      <c r="E22" s="13"/>
      <c r="F22" s="13"/>
      <c r="G22" s="13"/>
      <c r="H22" s="13"/>
      <c r="I22" s="13"/>
      <c r="J22" s="13"/>
      <c r="K22" s="13"/>
      <c r="L22" s="13"/>
      <c r="M22" s="13"/>
      <c r="N22" s="13"/>
      <c r="O22" s="13"/>
      <c r="P22" s="13"/>
      <c r="Q22" s="13"/>
      <c r="R22" s="13"/>
      <c r="S22" s="13"/>
      <c r="T22" s="13"/>
      <c r="U22" s="13"/>
    </row>
    <row r="23" spans="2:21" x14ac:dyDescent="0.25">
      <c r="B23" s="13"/>
      <c r="C23" s="13"/>
      <c r="D23" s="13"/>
      <c r="E23" s="13"/>
      <c r="F23" s="13"/>
      <c r="G23" s="13"/>
      <c r="H23" s="13"/>
      <c r="I23" s="13"/>
      <c r="J23" s="13"/>
      <c r="K23" s="13"/>
      <c r="L23" s="13"/>
      <c r="M23" s="13"/>
      <c r="N23" s="13"/>
      <c r="O23" s="13"/>
      <c r="P23" s="13"/>
      <c r="Q23" s="13"/>
      <c r="R23" s="13"/>
      <c r="S23" s="13"/>
      <c r="T23" s="13"/>
      <c r="U23" s="13"/>
    </row>
    <row r="24" spans="2:21" x14ac:dyDescent="0.25">
      <c r="B24" s="13"/>
      <c r="C24" s="13"/>
      <c r="D24" s="13"/>
      <c r="E24" s="13"/>
      <c r="F24" s="13"/>
      <c r="G24" s="13"/>
      <c r="H24" s="13"/>
      <c r="I24" s="13"/>
      <c r="J24" s="13"/>
      <c r="K24" s="13"/>
      <c r="L24" s="13"/>
      <c r="M24" s="13"/>
      <c r="N24" s="13"/>
      <c r="O24" s="13"/>
      <c r="P24" s="13"/>
      <c r="Q24" s="13"/>
      <c r="R24" s="13"/>
      <c r="S24" s="13"/>
      <c r="T24" s="13"/>
      <c r="U24" s="13"/>
    </row>
    <row r="25" spans="2:21" x14ac:dyDescent="0.25">
      <c r="B25" s="13"/>
      <c r="C25" s="13"/>
      <c r="D25" s="13"/>
      <c r="E25" s="13"/>
      <c r="F25" s="13"/>
      <c r="G25" s="13"/>
      <c r="H25" s="13"/>
      <c r="I25" s="13"/>
      <c r="J25" s="13"/>
      <c r="K25" s="13"/>
      <c r="L25" s="13"/>
      <c r="M25" s="13"/>
      <c r="N25" s="13"/>
      <c r="O25" s="13"/>
      <c r="P25" s="13"/>
      <c r="Q25" s="13"/>
      <c r="R25" s="13"/>
      <c r="S25" s="13"/>
      <c r="T25" s="13"/>
      <c r="U25" s="13"/>
    </row>
    <row r="26" spans="2:21" x14ac:dyDescent="0.25">
      <c r="B26" s="13"/>
      <c r="C26" s="13"/>
      <c r="D26" s="13"/>
      <c r="E26" s="13"/>
      <c r="F26" s="13"/>
      <c r="G26" s="13"/>
      <c r="H26" s="13"/>
      <c r="I26" s="13"/>
      <c r="J26" s="13"/>
      <c r="K26" s="13"/>
      <c r="L26" s="13"/>
      <c r="M26" s="13"/>
      <c r="N26" s="13"/>
      <c r="O26" s="13"/>
      <c r="P26" s="13"/>
      <c r="Q26" s="13"/>
      <c r="R26" s="13"/>
      <c r="S26" s="13"/>
      <c r="T26" s="13"/>
      <c r="U26" s="13"/>
    </row>
    <row r="27" spans="2:21" x14ac:dyDescent="0.25">
      <c r="B27" s="13"/>
      <c r="C27" s="13"/>
      <c r="D27" s="13"/>
      <c r="E27" s="13"/>
      <c r="F27" s="13"/>
      <c r="G27" s="13"/>
      <c r="H27" s="13"/>
      <c r="I27" s="13"/>
      <c r="J27" s="13"/>
      <c r="K27" s="13"/>
      <c r="L27" s="13"/>
      <c r="M27" s="13"/>
      <c r="N27" s="13"/>
      <c r="O27" s="13"/>
      <c r="P27" s="13"/>
      <c r="Q27" s="13"/>
      <c r="R27" s="13"/>
      <c r="S27" s="13"/>
      <c r="T27" s="13"/>
      <c r="U27" s="13"/>
    </row>
    <row r="28" spans="2:21" x14ac:dyDescent="0.25">
      <c r="B28" s="13"/>
      <c r="C28" s="13"/>
      <c r="D28" s="13"/>
      <c r="E28" s="13"/>
      <c r="F28" s="13"/>
      <c r="G28" s="13"/>
      <c r="H28" s="13"/>
      <c r="I28" s="13"/>
      <c r="J28" s="13"/>
      <c r="K28" s="13"/>
      <c r="L28" s="13"/>
      <c r="M28" s="13"/>
      <c r="N28" s="13"/>
      <c r="O28" s="13"/>
      <c r="P28" s="13"/>
      <c r="Q28" s="13"/>
      <c r="R28" s="13"/>
      <c r="S28" s="13"/>
      <c r="T28" s="13"/>
      <c r="U28" s="13"/>
    </row>
    <row r="29" spans="2:21" x14ac:dyDescent="0.25">
      <c r="B29" s="13"/>
      <c r="C29" s="13"/>
      <c r="D29" s="13"/>
      <c r="E29" s="13"/>
      <c r="F29" s="13"/>
      <c r="G29" s="13"/>
      <c r="H29" s="13"/>
      <c r="I29" s="13"/>
      <c r="J29" s="13"/>
      <c r="K29" s="13"/>
      <c r="L29" s="13"/>
      <c r="M29" s="13"/>
      <c r="N29" s="13"/>
      <c r="O29" s="13"/>
      <c r="P29" s="13"/>
      <c r="Q29" s="13"/>
      <c r="R29" s="13"/>
      <c r="S29" s="13"/>
      <c r="T29" s="13"/>
      <c r="U29" s="13"/>
    </row>
    <row r="30" spans="2:21" x14ac:dyDescent="0.25">
      <c r="B30" s="13"/>
      <c r="C30" s="13"/>
      <c r="D30" s="13"/>
      <c r="E30" s="13"/>
      <c r="F30" s="13"/>
      <c r="G30" s="13"/>
      <c r="H30" s="13"/>
      <c r="I30" s="13"/>
      <c r="J30" s="13"/>
      <c r="K30" s="13"/>
      <c r="L30" s="13"/>
      <c r="M30" s="13"/>
      <c r="N30" s="13"/>
      <c r="O30" s="13"/>
      <c r="P30" s="13"/>
      <c r="Q30" s="13"/>
      <c r="R30" s="13"/>
      <c r="S30" s="13"/>
      <c r="T30" s="13"/>
      <c r="U30" s="13"/>
    </row>
    <row r="31" spans="2:21" x14ac:dyDescent="0.25">
      <c r="B31" s="13"/>
      <c r="C31" s="13"/>
      <c r="D31" s="13"/>
      <c r="E31" s="13"/>
      <c r="F31" s="13"/>
      <c r="G31" s="13"/>
      <c r="H31" s="13"/>
      <c r="I31" s="13"/>
      <c r="J31" s="13"/>
      <c r="K31" s="13"/>
      <c r="L31" s="13"/>
      <c r="M31" s="13"/>
      <c r="N31" s="13"/>
      <c r="O31" s="13"/>
      <c r="P31" s="13"/>
      <c r="Q31" s="13"/>
      <c r="R31" s="13"/>
      <c r="S31" s="13"/>
      <c r="T31" s="13"/>
      <c r="U31" s="13"/>
    </row>
    <row r="32" spans="2:21" x14ac:dyDescent="0.25">
      <c r="B32" s="13"/>
      <c r="C32" s="13"/>
      <c r="D32" s="13"/>
      <c r="E32" s="13"/>
      <c r="F32" s="13"/>
      <c r="G32" s="13"/>
      <c r="H32" s="13"/>
      <c r="I32" s="13"/>
      <c r="J32" s="13"/>
      <c r="K32" s="13"/>
      <c r="L32" s="13"/>
      <c r="M32" s="13"/>
      <c r="N32" s="13"/>
      <c r="O32" s="13"/>
      <c r="P32" s="13"/>
      <c r="Q32" s="13"/>
      <c r="R32" s="13"/>
      <c r="S32" s="13"/>
      <c r="T32" s="13"/>
      <c r="U32" s="13"/>
    </row>
    <row r="33" spans="2:21" x14ac:dyDescent="0.25">
      <c r="B33" s="13"/>
      <c r="C33" s="13"/>
      <c r="D33" s="13"/>
      <c r="E33" s="13"/>
      <c r="F33" s="13"/>
      <c r="G33" s="13"/>
      <c r="H33" s="13"/>
      <c r="I33" s="13"/>
      <c r="J33" s="13"/>
      <c r="K33" s="13"/>
      <c r="L33" s="13"/>
      <c r="M33" s="13"/>
      <c r="N33" s="13"/>
      <c r="O33" s="13"/>
      <c r="P33" s="13"/>
      <c r="Q33" s="13"/>
      <c r="R33" s="13"/>
      <c r="S33" s="13"/>
      <c r="T33" s="13"/>
      <c r="U33" s="13"/>
    </row>
    <row r="34" spans="2:21" x14ac:dyDescent="0.25">
      <c r="B34" s="13"/>
      <c r="C34" s="13"/>
      <c r="D34" s="13"/>
      <c r="E34" s="13"/>
      <c r="F34" s="13"/>
      <c r="G34" s="13"/>
      <c r="H34" s="13"/>
      <c r="I34" s="13"/>
      <c r="J34" s="13"/>
      <c r="K34" s="13"/>
      <c r="L34" s="13"/>
      <c r="M34" s="13"/>
      <c r="N34" s="13"/>
      <c r="O34" s="13"/>
      <c r="P34" s="13"/>
      <c r="Q34" s="13"/>
      <c r="R34" s="13"/>
      <c r="S34" s="13"/>
      <c r="T34" s="13"/>
      <c r="U34" s="13"/>
    </row>
    <row r="35" spans="2:21" x14ac:dyDescent="0.25">
      <c r="B35" s="13"/>
      <c r="C35" s="13"/>
      <c r="D35" s="13"/>
      <c r="E35" s="13"/>
      <c r="F35" s="13"/>
      <c r="G35" s="13"/>
      <c r="H35" s="13"/>
      <c r="I35" s="13"/>
      <c r="J35" s="13"/>
      <c r="K35" s="13"/>
      <c r="L35" s="13"/>
      <c r="M35" s="13"/>
      <c r="N35" s="13"/>
      <c r="O35" s="13"/>
      <c r="P35" s="13"/>
      <c r="Q35" s="13"/>
      <c r="R35" s="13"/>
      <c r="S35" s="13"/>
      <c r="T35" s="13"/>
      <c r="U35" s="13"/>
    </row>
    <row r="36" spans="2:21" x14ac:dyDescent="0.25">
      <c r="B36" s="13"/>
      <c r="C36" s="13"/>
      <c r="D36" s="13"/>
      <c r="E36" s="13"/>
      <c r="F36" s="13"/>
      <c r="G36" s="13"/>
      <c r="H36" s="13"/>
      <c r="I36" s="13"/>
      <c r="J36" s="13"/>
      <c r="K36" s="13"/>
      <c r="L36" s="13"/>
      <c r="M36" s="13"/>
      <c r="N36" s="13"/>
      <c r="O36" s="13"/>
      <c r="P36" s="13"/>
      <c r="Q36" s="13"/>
      <c r="R36" s="13"/>
      <c r="S36" s="13"/>
      <c r="T36" s="13"/>
      <c r="U36" s="13"/>
    </row>
    <row r="37" spans="2:21" x14ac:dyDescent="0.25">
      <c r="B37" s="13"/>
      <c r="C37" s="13"/>
      <c r="D37" s="13"/>
      <c r="E37" s="13"/>
      <c r="F37" s="13"/>
      <c r="G37" s="13"/>
      <c r="H37" s="13"/>
      <c r="I37" s="13"/>
      <c r="J37" s="13"/>
      <c r="K37" s="13"/>
      <c r="L37" s="13"/>
      <c r="M37" s="13"/>
      <c r="N37" s="13"/>
      <c r="O37" s="13"/>
      <c r="P37" s="13"/>
      <c r="Q37" s="13"/>
      <c r="R37" s="13"/>
      <c r="S37" s="13"/>
      <c r="T37" s="13"/>
      <c r="U37" s="13"/>
    </row>
    <row r="38" spans="2:21" x14ac:dyDescent="0.25">
      <c r="B38" s="13"/>
      <c r="C38" s="13"/>
      <c r="D38" s="13"/>
      <c r="E38" s="13"/>
      <c r="F38" s="13"/>
      <c r="G38" s="13"/>
      <c r="H38" s="13"/>
      <c r="I38" s="13"/>
      <c r="J38" s="13"/>
      <c r="K38" s="13"/>
      <c r="L38" s="13"/>
      <c r="M38" s="13"/>
      <c r="N38" s="13"/>
      <c r="O38" s="13"/>
      <c r="P38" s="13"/>
      <c r="Q38" s="13"/>
      <c r="R38" s="13"/>
      <c r="S38" s="13"/>
      <c r="T38" s="13"/>
      <c r="U38" s="13"/>
    </row>
  </sheetData>
  <pageMargins left="0.7" right="0.7" top="0.75" bottom="0.75" header="0.3" footer="0.3"/>
  <pageSetup paperSize="8"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325F3E15-D0BD-4434-81D4-2DB63F9B9E5A}">
  <ds:schemaRefs/>
</ds:datastoreItem>
</file>

<file path=customXml/itemProps2.xml><?xml version="1.0" encoding="utf-8"?>
<ds:datastoreItem xmlns:ds="http://schemas.openxmlformats.org/officeDocument/2006/customXml" ds:itemID="{0FF21C85-B970-4DFE-9739-5D3FF4455ED6}">
  <ds:schemaRefs/>
</ds:datastoreItem>
</file>

<file path=customXml/itemProps3.xml><?xml version="1.0" encoding="utf-8"?>
<ds:datastoreItem xmlns:ds="http://schemas.openxmlformats.org/officeDocument/2006/customXml" ds:itemID="{B40790B0-26F0-498D-B62F-18CAF6CB3BD2}">
  <ds:schemaRefs/>
</ds:datastoreItem>
</file>

<file path=customXml/itemProps4.xml><?xml version="1.0" encoding="utf-8"?>
<ds:datastoreItem xmlns:ds="http://schemas.openxmlformats.org/officeDocument/2006/customXml" ds:itemID="{CDB096F6-29F8-4E11-9E96-5138F336CB27}">
  <ds:schemaRefs/>
</ds:datastoreItem>
</file>

<file path=customXml/itemProps5.xml><?xml version="1.0" encoding="utf-8"?>
<ds:datastoreItem xmlns:ds="http://schemas.openxmlformats.org/officeDocument/2006/customXml" ds:itemID="{CDE87FCB-A21D-43B3-BC07-E9A8E782EC81}">
  <ds:schemaRefs/>
</ds:datastoreItem>
</file>

<file path=customXml/itemProps6.xml><?xml version="1.0" encoding="utf-8"?>
<ds:datastoreItem xmlns:ds="http://schemas.openxmlformats.org/officeDocument/2006/customXml" ds:itemID="{3E3FA272-01F2-4653-817D-6E0F4049111B}">
  <ds:schemaRefs/>
</ds:datastoreItem>
</file>

<file path=customXml/itemProps7.xml><?xml version="1.0" encoding="utf-8"?>
<ds:datastoreItem xmlns:ds="http://schemas.openxmlformats.org/officeDocument/2006/customXml" ds:itemID="{75246DFC-D0AC-48AD-8601-90D141961159}">
  <ds:schemaRefs/>
</ds:datastoreItem>
</file>

<file path=customXml/itemProps8.xml><?xml version="1.0" encoding="utf-8"?>
<ds:datastoreItem xmlns:ds="http://schemas.openxmlformats.org/officeDocument/2006/customXml" ds:itemID="{83921EDA-4051-4A96-9943-BEE46A813AB1}">
  <ds:schemaRefs/>
</ds:datastoreItem>
</file>

<file path=customXml/itemProps9.xml><?xml version="1.0" encoding="utf-8"?>
<ds:datastoreItem xmlns:ds="http://schemas.openxmlformats.org/officeDocument/2006/customXml" ds:itemID="{03C5B4B8-4909-43A1-9D4A-F13006339CDC}">
  <ds:schemaRefs/>
</ds:datastoreItem>
</file>

<file path=customXml/itemProps10.xml><?xml version="1.0" encoding="utf-8"?>
<ds:datastoreItem xmlns:ds="http://schemas.openxmlformats.org/officeDocument/2006/customXml" ds:itemID="{88E942C7-9C3E-4427-98DF-CAFF6E2BAEB6}">
  <ds:schemaRefs/>
</ds:datastoreItem>
</file>

<file path=customXml/itemProps11.xml><?xml version="1.0" encoding="utf-8"?>
<ds:datastoreItem xmlns:ds="http://schemas.openxmlformats.org/officeDocument/2006/customXml" ds:itemID="{301BE54E-A825-458A-83F3-FC73CCD9785D}">
  <ds:schemaRefs/>
</ds:datastoreItem>
</file>

<file path=customXml/itemProps12.xml><?xml version="1.0" encoding="utf-8"?>
<ds:datastoreItem xmlns:ds="http://schemas.openxmlformats.org/officeDocument/2006/customXml" ds:itemID="{43F7672D-F3E9-46A1-9B86-6C3870DA0AC2}">
  <ds:schemaRefs/>
</ds:datastoreItem>
</file>

<file path=customXml/itemProps13.xml><?xml version="1.0" encoding="utf-8"?>
<ds:datastoreItem xmlns:ds="http://schemas.openxmlformats.org/officeDocument/2006/customXml" ds:itemID="{545D3494-E555-4790-883F-627B78FFD15F}">
  <ds:schemaRefs/>
</ds:datastoreItem>
</file>

<file path=customXml/itemProps14.xml><?xml version="1.0" encoding="utf-8"?>
<ds:datastoreItem xmlns:ds="http://schemas.openxmlformats.org/officeDocument/2006/customXml" ds:itemID="{3A4F05C1-C283-4478-AE00-E19078BCA16A}">
  <ds:schemaRefs/>
</ds:datastoreItem>
</file>

<file path=customXml/itemProps15.xml><?xml version="1.0" encoding="utf-8"?>
<ds:datastoreItem xmlns:ds="http://schemas.openxmlformats.org/officeDocument/2006/customXml" ds:itemID="{0ABC96D4-C642-4659-9AC1-8301424A120F}">
  <ds:schemaRefs/>
</ds:datastoreItem>
</file>

<file path=customXml/itemProps16.xml><?xml version="1.0" encoding="utf-8"?>
<ds:datastoreItem xmlns:ds="http://schemas.openxmlformats.org/officeDocument/2006/customXml" ds:itemID="{8062C3C5-7DCD-4A62-BAE6-797053D3B4DE}">
  <ds:schemaRefs/>
</ds:datastoreItem>
</file>

<file path=customXml/itemProps17.xml><?xml version="1.0" encoding="utf-8"?>
<ds:datastoreItem xmlns:ds="http://schemas.openxmlformats.org/officeDocument/2006/customXml" ds:itemID="{D6A35749-8F9B-42D4-90A5-C2B75311BC62}">
  <ds:schemaRefs/>
</ds:datastoreItem>
</file>

<file path=customXml/itemProps18.xml><?xml version="1.0" encoding="utf-8"?>
<ds:datastoreItem xmlns:ds="http://schemas.openxmlformats.org/officeDocument/2006/customXml" ds:itemID="{71BAC89D-2F7E-464F-8E12-2F88D47DD451}">
  <ds:schemaRefs/>
</ds:datastoreItem>
</file>

<file path=customXml/itemProps19.xml><?xml version="1.0" encoding="utf-8"?>
<ds:datastoreItem xmlns:ds="http://schemas.openxmlformats.org/officeDocument/2006/customXml" ds:itemID="{C281BAD6-D3BF-4826-B15D-63D0BEB953F3}">
  <ds:schemaRefs/>
</ds:datastoreItem>
</file>

<file path=customXml/itemProps20.xml><?xml version="1.0" encoding="utf-8"?>
<ds:datastoreItem xmlns:ds="http://schemas.openxmlformats.org/officeDocument/2006/customXml" ds:itemID="{A35A4125-DCD8-47BD-BA66-231C6087804D}">
  <ds:schemaRefs/>
</ds:datastoreItem>
</file>

<file path=customXml/itemProps21.xml><?xml version="1.0" encoding="utf-8"?>
<ds:datastoreItem xmlns:ds="http://schemas.openxmlformats.org/officeDocument/2006/customXml" ds:itemID="{5BCB7D92-5B0E-4D87-81FB-4B3E7CA0B43D}">
  <ds:schemaRefs/>
</ds:datastoreItem>
</file>

<file path=customXml/itemProps22.xml><?xml version="1.0" encoding="utf-8"?>
<ds:datastoreItem xmlns:ds="http://schemas.openxmlformats.org/officeDocument/2006/customXml" ds:itemID="{ED6EB2B8-15DC-4772-8E53-EA7EB6C63C23}">
  <ds:schemaRefs/>
</ds:datastoreItem>
</file>

<file path=customXml/itemProps23.xml><?xml version="1.0" encoding="utf-8"?>
<ds:datastoreItem xmlns:ds="http://schemas.openxmlformats.org/officeDocument/2006/customXml" ds:itemID="{05CCE8ED-31D2-4EBD-887A-3395C8C84F33}">
  <ds:schemaRefs/>
</ds:datastoreItem>
</file>

<file path=customXml/itemProps24.xml><?xml version="1.0" encoding="utf-8"?>
<ds:datastoreItem xmlns:ds="http://schemas.openxmlformats.org/officeDocument/2006/customXml" ds:itemID="{AE025611-10C5-49DB-A094-CA3433B7D008}">
  <ds:schemaRefs/>
</ds:datastoreItem>
</file>

<file path=customXml/itemProps25.xml><?xml version="1.0" encoding="utf-8"?>
<ds:datastoreItem xmlns:ds="http://schemas.openxmlformats.org/officeDocument/2006/customXml" ds:itemID="{CB5C7740-165D-4BD4-A555-26D3973136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dc:creator>
  <cp:lastModifiedBy>Alvee Meerza</cp:lastModifiedBy>
  <cp:lastPrinted>2026-07-06T13:09:20Z</cp:lastPrinted>
  <dcterms:created xsi:type="dcterms:W3CDTF">2026-03-07T11:38:43Z</dcterms:created>
  <dcterms:modified xsi:type="dcterms:W3CDTF">2026-07-06T13:18:21Z</dcterms:modified>
</cp:coreProperties>
</file>